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masilla\Downloads\"/>
    </mc:Choice>
  </mc:AlternateContent>
  <xr:revisionPtr revIDLastSave="0" documentId="13_ncr:1_{93452401-A4D9-4ACF-91EC-1A21F97F003F}"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08" yWindow="-108" windowWidth="23256" windowHeight="12456" tabRatio="749"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BR5" i="46"/>
  <c r="BO5" i="46"/>
  <c r="BL5" i="46"/>
  <c r="BI5" i="46"/>
  <c r="BF5" i="46"/>
  <c r="BC5" i="46"/>
  <c r="AZ5" i="46"/>
  <c r="AW5" i="46"/>
  <c r="AT5" i="46"/>
  <c r="AQ5" i="46"/>
  <c r="AN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M17" i="46" s="1"/>
  <c r="N18" i="46"/>
  <c r="N19" i="46"/>
  <c r="N20" i="46"/>
  <c r="N21" i="46"/>
  <c r="N22" i="46"/>
  <c r="N23" i="46"/>
  <c r="N24" i="46"/>
  <c r="N25" i="46"/>
  <c r="N26" i="46"/>
  <c r="N27" i="46"/>
  <c r="N30" i="46"/>
  <c r="N52" i="46"/>
  <c r="P52" i="46"/>
  <c r="N77" i="46"/>
  <c r="N76" i="46"/>
  <c r="P76" i="46"/>
  <c r="N75" i="46"/>
  <c r="N74" i="46"/>
  <c r="N73" i="46"/>
  <c r="N72" i="46"/>
  <c r="N71" i="46"/>
  <c r="N70" i="46"/>
  <c r="N69" i="46"/>
  <c r="N68" i="46"/>
  <c r="N67" i="46"/>
  <c r="N66" i="46"/>
  <c r="N65" i="46"/>
  <c r="N64" i="46"/>
  <c r="N63" i="46"/>
  <c r="N62" i="46"/>
  <c r="N61" i="46"/>
  <c r="N60" i="46"/>
  <c r="N59" i="46"/>
  <c r="N58" i="46"/>
  <c r="N57" i="46"/>
  <c r="N56" i="46"/>
  <c r="N55" i="46"/>
  <c r="N54" i="46"/>
  <c r="O54" i="46"/>
  <c r="P54" i="46"/>
  <c r="N53" i="46"/>
  <c r="N51" i="46"/>
  <c r="N50" i="46"/>
  <c r="N49" i="46"/>
  <c r="N48" i="46"/>
  <c r="N47" i="46"/>
  <c r="N46" i="46"/>
  <c r="N45" i="46"/>
  <c r="N44" i="46"/>
  <c r="N43" i="46"/>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M77" i="46" s="1"/>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Q59" i="46" s="1"/>
  <c r="P58" i="46"/>
  <c r="O58" i="46"/>
  <c r="P57" i="46"/>
  <c r="O57" i="46"/>
  <c r="P56" i="46"/>
  <c r="O56" i="46"/>
  <c r="M56" i="46" s="1"/>
  <c r="P55" i="46"/>
  <c r="O55" i="46"/>
  <c r="P53" i="46"/>
  <c r="O53" i="46"/>
  <c r="O52" i="46"/>
  <c r="P51" i="46"/>
  <c r="O51" i="46"/>
  <c r="P50" i="46"/>
  <c r="M50" i="46" s="1"/>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L13" i="34" s="1"/>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K94"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16" i="46"/>
  <c r="M65" i="46"/>
  <c r="Q179" i="46"/>
  <c r="E221" i="46"/>
  <c r="E233" i="46"/>
  <c r="M69" i="46"/>
  <c r="M29" i="46"/>
  <c r="Q201" i="46"/>
  <c r="M221" i="46"/>
  <c r="M49" i="46"/>
  <c r="E223" i="46"/>
  <c r="M62" i="46"/>
  <c r="M53" i="46"/>
  <c r="M14"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2" i="46"/>
  <c r="H204" i="46"/>
  <c r="H205" i="46"/>
  <c r="H215" i="46"/>
  <c r="H207" i="46"/>
  <c r="Q22" i="6"/>
  <c r="H210" i="46"/>
  <c r="H211"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36" i="3"/>
  <c r="AJ84" i="3"/>
  <c r="M84" i="34"/>
  <c r="AC3" i="3"/>
  <c r="AC130" i="3" s="1"/>
  <c r="M33" i="46" l="1"/>
  <c r="M72" i="46"/>
  <c r="M21" i="46"/>
  <c r="M57" i="46"/>
  <c r="M43" i="46"/>
  <c r="M58" i="46"/>
  <c r="M74" i="46"/>
  <c r="M8" i="46"/>
  <c r="M36" i="46"/>
  <c r="M44" i="46"/>
  <c r="M75" i="46"/>
  <c r="M45" i="46"/>
  <c r="Q21" i="46"/>
  <c r="M61" i="46"/>
  <c r="M47" i="46"/>
  <c r="Q27" i="46"/>
  <c r="M48" i="46"/>
  <c r="M52" i="46"/>
  <c r="M26" i="46"/>
  <c r="Q26" i="46"/>
  <c r="Q244" i="46"/>
  <c r="Q76" i="46"/>
  <c r="M63" i="46"/>
  <c r="Q60" i="46"/>
  <c r="Q56" i="46"/>
  <c r="M41" i="46"/>
  <c r="Q45" i="46"/>
  <c r="M20" i="46"/>
  <c r="Q13" i="46"/>
  <c r="M7"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AU47" i="46" s="1"/>
  <c r="P202" i="46"/>
  <c r="P206" i="46"/>
  <c r="Q202" i="46"/>
  <c r="Q223" i="46"/>
  <c r="Q7" i="46"/>
  <c r="Q52" i="46"/>
  <c r="CH52" i="46" s="1"/>
  <c r="Q53" i="46"/>
  <c r="AC53" i="46" s="1"/>
  <c r="Q58" i="46"/>
  <c r="BM58" i="46" s="1"/>
  <c r="Q62" i="46"/>
  <c r="CB62" i="46" s="1"/>
  <c r="Q66" i="46"/>
  <c r="Q74" i="46"/>
  <c r="Q9" i="46"/>
  <c r="Q36" i="46"/>
  <c r="AO36" i="46" s="1"/>
  <c r="Q40" i="46"/>
  <c r="Q44" i="46"/>
  <c r="T44" i="46" s="1"/>
  <c r="Q30" i="46"/>
  <c r="P203" i="46"/>
  <c r="Q203" i="46"/>
  <c r="Q207" i="46"/>
  <c r="Q65" i="46"/>
  <c r="BJ65" i="46" s="1"/>
  <c r="Q232" i="46"/>
  <c r="Q33" i="46"/>
  <c r="Q37" i="46"/>
  <c r="AU37" i="46" s="1"/>
  <c r="Q41" i="46"/>
  <c r="AR41" i="46" s="1"/>
  <c r="Q49" i="46"/>
  <c r="BP49" i="46" s="1"/>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BF244" i="46"/>
  <c r="CD244" i="46"/>
  <c r="BI244" i="46"/>
  <c r="CG244" i="46"/>
  <c r="AN244" i="46"/>
  <c r="BL244" i="46"/>
  <c r="CJ244" i="46"/>
  <c r="AQ244" i="46"/>
  <c r="BO244" i="46"/>
  <c r="CM244" i="46"/>
  <c r="AT244" i="46"/>
  <c r="BR244" i="46"/>
  <c r="AW244" i="46"/>
  <c r="BU244" i="46"/>
  <c r="AZ244" i="46"/>
  <c r="CA244" i="46"/>
  <c r="BC244" i="46"/>
  <c r="BX244" i="46"/>
  <c r="AZ6" i="46"/>
  <c r="BX6" i="46"/>
  <c r="BC6" i="46"/>
  <c r="CA6" i="46"/>
  <c r="BF6" i="46"/>
  <c r="CD6" i="46"/>
  <c r="BI6" i="46"/>
  <c r="CG6" i="46"/>
  <c r="AN6" i="46"/>
  <c r="BL6" i="46"/>
  <c r="CJ6" i="46"/>
  <c r="BO6" i="46"/>
  <c r="BR6" i="46"/>
  <c r="BU6" i="46"/>
  <c r="CM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BC232" i="46"/>
  <c r="CA232" i="46"/>
  <c r="BF232" i="46"/>
  <c r="BI232" i="46"/>
  <c r="CJ232" i="46"/>
  <c r="BL232" i="46"/>
  <c r="CM232" i="46"/>
  <c r="BO232" i="46"/>
  <c r="AN232" i="46"/>
  <c r="BR232" i="46"/>
  <c r="AQ232" i="46"/>
  <c r="BU232" i="46"/>
  <c r="AT232" i="46"/>
  <c r="BX232" i="46"/>
  <c r="AW232" i="46"/>
  <c r="CD232" i="46"/>
  <c r="AZ232" i="46"/>
  <c r="CG232" i="46"/>
  <c r="AT30" i="46"/>
  <c r="BR30" i="46"/>
  <c r="AW30" i="46"/>
  <c r="BU30" i="46"/>
  <c r="AZ30" i="46"/>
  <c r="BX30" i="46"/>
  <c r="BC30" i="46"/>
  <c r="CA30" i="46"/>
  <c r="BF30" i="46"/>
  <c r="CD30" i="46"/>
  <c r="AN30" i="46"/>
  <c r="AQ30" i="46"/>
  <c r="BI30" i="46"/>
  <c r="BL30" i="46"/>
  <c r="BO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Z54" i="46"/>
  <c r="BX54" i="46"/>
  <c r="BC54" i="46"/>
  <c r="CA54" i="46"/>
  <c r="BO54" i="46"/>
  <c r="AN54" i="46"/>
  <c r="BR54" i="46"/>
  <c r="AQ54" i="46"/>
  <c r="BU54" i="46"/>
  <c r="AT54" i="46"/>
  <c r="CD54" i="46"/>
  <c r="AW54" i="46"/>
  <c r="CG54" i="46"/>
  <c r="BI54" i="46"/>
  <c r="BL54" i="46"/>
  <c r="CJ54" i="46"/>
  <c r="CM54" i="46"/>
  <c r="BF54" i="46"/>
  <c r="D367" i="36"/>
  <c r="AF91" i="3"/>
  <c r="AF67" i="3"/>
  <c r="AL85" i="3"/>
  <c r="AY85" i="3" s="1"/>
  <c r="AJ28" i="3"/>
  <c r="H244" i="46"/>
  <c r="H201" i="46"/>
  <c r="H214" i="46"/>
  <c r="H155" i="46"/>
  <c r="H140" i="46"/>
  <c r="H138" i="46"/>
  <c r="AL253" i="46"/>
  <c r="Z253" i="46"/>
  <c r="AZ253" i="46"/>
  <c r="BA253" i="46" s="1"/>
  <c r="AQ253" i="46"/>
  <c r="AR253" i="46" s="1"/>
  <c r="BI253" i="46"/>
  <c r="BJ253" i="46" s="1"/>
  <c r="BX253" i="46"/>
  <c r="BY253" i="46" s="1"/>
  <c r="AC253" i="46"/>
  <c r="AT253" i="46"/>
  <c r="AU253" i="46" s="1"/>
  <c r="CM253" i="46"/>
  <c r="CN253" i="46" s="1"/>
  <c r="BL253" i="46"/>
  <c r="BM253" i="46" s="1"/>
  <c r="CA253" i="46"/>
  <c r="CB253" i="46" s="1"/>
  <c r="AF253" i="46"/>
  <c r="AW253" i="46"/>
  <c r="AX253" i="46" s="1"/>
  <c r="BO253" i="46"/>
  <c r="BP253" i="46" s="1"/>
  <c r="CD253" i="46"/>
  <c r="CE253" i="46" s="1"/>
  <c r="AI253" i="46"/>
  <c r="BR253" i="46"/>
  <c r="BS253" i="46" s="1"/>
  <c r="BC253" i="46"/>
  <c r="BD253" i="46" s="1"/>
  <c r="CG253" i="46"/>
  <c r="CH253" i="46" s="1"/>
  <c r="W253" i="46"/>
  <c r="CJ253" i="46"/>
  <c r="CK253" i="46" s="1"/>
  <c r="AN253" i="46"/>
  <c r="AO253" i="46" s="1"/>
  <c r="BF253" i="46"/>
  <c r="BG253" i="46" s="1"/>
  <c r="BU253" i="46"/>
  <c r="BV253" i="46" s="1"/>
  <c r="K193" i="46"/>
  <c r="K183" i="46"/>
  <c r="AN220" i="46"/>
  <c r="BL220" i="46"/>
  <c r="CJ220" i="46"/>
  <c r="AQ220" i="46"/>
  <c r="BO220" i="46"/>
  <c r="CM220" i="46"/>
  <c r="AT220" i="46"/>
  <c r="BX220" i="46"/>
  <c r="AW220" i="46"/>
  <c r="CA220" i="46"/>
  <c r="AZ220" i="46"/>
  <c r="CD220" i="46"/>
  <c r="BC220" i="46"/>
  <c r="CG220" i="46"/>
  <c r="BF220" i="46"/>
  <c r="BI220" i="46"/>
  <c r="BR220" i="46"/>
  <c r="BU220" i="46"/>
  <c r="H213" i="46"/>
  <c r="H156" i="46"/>
  <c r="H134" i="46"/>
  <c r="H253" i="46"/>
  <c r="H254" i="46"/>
  <c r="H141" i="46"/>
  <c r="H133" i="46"/>
  <c r="BI200" i="46"/>
  <c r="CG200" i="46"/>
  <c r="AN200" i="46"/>
  <c r="BL200" i="46"/>
  <c r="CJ200" i="46"/>
  <c r="BO200" i="46"/>
  <c r="BR200" i="46"/>
  <c r="AQ200" i="46"/>
  <c r="BU200" i="46"/>
  <c r="AT200" i="46"/>
  <c r="BX200" i="46"/>
  <c r="AW200" i="46"/>
  <c r="CA200" i="46"/>
  <c r="AZ200" i="46"/>
  <c r="CD200" i="46"/>
  <c r="BC200" i="46"/>
  <c r="BF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AI7" i="46"/>
  <c r="AF7" i="46"/>
  <c r="BS7" i="46"/>
  <c r="AR7" i="46"/>
  <c r="CB7" i="46"/>
  <c r="AX7" i="46"/>
  <c r="AL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AF33" i="46"/>
  <c r="AL36" i="46"/>
  <c r="BJ36" i="46"/>
  <c r="CH36" i="46"/>
  <c r="AX33" i="46"/>
  <c r="BM36" i="46"/>
  <c r="CK36" i="46"/>
  <c r="BA33" i="46"/>
  <c r="AR36" i="46"/>
  <c r="BP36" i="46"/>
  <c r="CN36" i="46"/>
  <c r="BD33" i="46"/>
  <c r="AU36" i="46"/>
  <c r="BA36" i="46"/>
  <c r="BM37" i="46"/>
  <c r="AO41" i="46"/>
  <c r="BM41" i="46"/>
  <c r="CK41" i="46"/>
  <c r="BD36" i="46"/>
  <c r="AO45" i="46"/>
  <c r="BM45" i="46"/>
  <c r="CK45" i="46"/>
  <c r="Z33" i="46"/>
  <c r="BV36" i="46"/>
  <c r="BV33" i="46"/>
  <c r="BY36" i="46"/>
  <c r="CB36" i="46"/>
  <c r="AX41" i="46"/>
  <c r="CB41" i="46"/>
  <c r="AL45" i="46"/>
  <c r="BP45" i="46"/>
  <c r="AI47" i="46"/>
  <c r="AO49" i="46"/>
  <c r="BM49" i="46"/>
  <c r="CK49" i="46"/>
  <c r="BA41" i="46"/>
  <c r="CE41" i="46"/>
  <c r="AR45" i="46"/>
  <c r="BS45" i="46"/>
  <c r="AL47" i="46"/>
  <c r="AR49" i="46"/>
  <c r="Z41" i="46"/>
  <c r="BD41" i="46"/>
  <c r="CH41" i="46"/>
  <c r="AU45" i="46"/>
  <c r="BV45" i="46"/>
  <c r="BM47" i="46"/>
  <c r="CK47" i="46"/>
  <c r="AU49" i="46"/>
  <c r="BS49" i="46"/>
  <c r="AC41" i="46"/>
  <c r="BG41" i="46"/>
  <c r="CN44" i="46"/>
  <c r="AX45" i="46"/>
  <c r="BY45" i="46"/>
  <c r="Z49" i="46"/>
  <c r="AX49" i="46"/>
  <c r="BV49" i="46"/>
  <c r="BY33" i="46"/>
  <c r="Z36" i="46"/>
  <c r="BJ41" i="46"/>
  <c r="Z45" i="46"/>
  <c r="BA45" i="46"/>
  <c r="CB45" i="46"/>
  <c r="AC49" i="46"/>
  <c r="BA49" i="46"/>
  <c r="BY49" i="46"/>
  <c r="CB33" i="46"/>
  <c r="BS41" i="46"/>
  <c r="AF45" i="46"/>
  <c r="BD47" i="46"/>
  <c r="CB49" i="46"/>
  <c r="AL52" i="46"/>
  <c r="BJ52" i="46"/>
  <c r="AC56" i="46"/>
  <c r="BA56" i="46"/>
  <c r="BY56" i="46"/>
  <c r="AI58" i="46"/>
  <c r="BG58" i="46"/>
  <c r="CE58" i="46"/>
  <c r="AC36" i="46"/>
  <c r="BV41" i="46"/>
  <c r="AI45" i="46"/>
  <c r="BV47" i="46"/>
  <c r="CE49" i="46"/>
  <c r="BM52" i="46"/>
  <c r="AF56" i="46"/>
  <c r="BD56" i="46"/>
  <c r="CB56" i="46"/>
  <c r="BJ58" i="46"/>
  <c r="CH58" i="46"/>
  <c r="AF36" i="46"/>
  <c r="BY41" i="46"/>
  <c r="BD45" i="46"/>
  <c r="AF49" i="46"/>
  <c r="CH49" i="46"/>
  <c r="AR52" i="46"/>
  <c r="AI56" i="46"/>
  <c r="BG56" i="46"/>
  <c r="CE56" i="46"/>
  <c r="AO58" i="46"/>
  <c r="AX36" i="46"/>
  <c r="Z37" i="46"/>
  <c r="BG45" i="46"/>
  <c r="Z47" i="46"/>
  <c r="AI49" i="46"/>
  <c r="AL56" i="46"/>
  <c r="BJ56" i="46"/>
  <c r="CH56" i="46"/>
  <c r="BJ45" i="46"/>
  <c r="AC47" i="46"/>
  <c r="AL49" i="46"/>
  <c r="Z52" i="46"/>
  <c r="AO56" i="46"/>
  <c r="BM56" i="46"/>
  <c r="CK56" i="46"/>
  <c r="CN45" i="46"/>
  <c r="CN56" i="46"/>
  <c r="Z58" i="46"/>
  <c r="BP58" i="46"/>
  <c r="AU62" i="46"/>
  <c r="BS62" i="46"/>
  <c r="AL63" i="46"/>
  <c r="BJ63" i="46"/>
  <c r="CH63" i="46"/>
  <c r="CN37" i="46"/>
  <c r="BG52" i="46"/>
  <c r="Z56" i="46"/>
  <c r="AC58" i="46"/>
  <c r="BS58" i="46"/>
  <c r="Z62" i="46"/>
  <c r="AO63" i="46"/>
  <c r="BM63" i="46"/>
  <c r="CK63" i="46"/>
  <c r="AI41" i="46"/>
  <c r="AU53" i="46"/>
  <c r="AR56" i="46"/>
  <c r="AF58" i="46"/>
  <c r="BV58" i="46"/>
  <c r="AC62" i="46"/>
  <c r="AR63" i="46"/>
  <c r="BP63" i="46"/>
  <c r="CN63" i="46"/>
  <c r="Z65" i="46"/>
  <c r="AX65" i="46"/>
  <c r="BV65" i="46"/>
  <c r="AL41" i="46"/>
  <c r="AU56" i="46"/>
  <c r="BY58" i="46"/>
  <c r="AF62" i="46"/>
  <c r="BD62" i="46"/>
  <c r="AU63" i="46"/>
  <c r="BS63" i="46"/>
  <c r="AU41" i="46"/>
  <c r="BD49" i="46"/>
  <c r="AC52" i="46"/>
  <c r="AX56" i="46"/>
  <c r="AU58" i="46"/>
  <c r="CB58" i="46"/>
  <c r="BG62" i="46"/>
  <c r="CE62" i="46"/>
  <c r="Z63" i="46"/>
  <c r="AX63" i="46"/>
  <c r="BV63" i="46"/>
  <c r="BA58" i="46"/>
  <c r="BA63" i="46"/>
  <c r="AO65" i="46"/>
  <c r="BP65" i="46"/>
  <c r="AL66" i="46"/>
  <c r="BJ66" i="46"/>
  <c r="CH66" i="46"/>
  <c r="CH62" i="46"/>
  <c r="BD63" i="46"/>
  <c r="AR65" i="46"/>
  <c r="BS65" i="46"/>
  <c r="AO66" i="46"/>
  <c r="BM66" i="46"/>
  <c r="CK66" i="46"/>
  <c r="CN58" i="46"/>
  <c r="BG63" i="46"/>
  <c r="AU65" i="46"/>
  <c r="BY65" i="46"/>
  <c r="AR66" i="46"/>
  <c r="BP66" i="46"/>
  <c r="CN66" i="46"/>
  <c r="AL62" i="46"/>
  <c r="CN62" i="46"/>
  <c r="BY63" i="46"/>
  <c r="BA65" i="46"/>
  <c r="CB65" i="46"/>
  <c r="AU66" i="46"/>
  <c r="BS66" i="46"/>
  <c r="BJ49" i="46"/>
  <c r="BP56" i="46"/>
  <c r="CB63" i="46"/>
  <c r="AC65" i="46"/>
  <c r="BD65" i="46"/>
  <c r="CE65" i="46"/>
  <c r="Z66" i="46"/>
  <c r="AX66" i="46"/>
  <c r="BV66" i="46"/>
  <c r="AC45"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G66" i="46"/>
  <c r="AI74" i="46"/>
  <c r="BG74" i="46"/>
  <c r="CE74" i="46"/>
  <c r="Z75" i="46"/>
  <c r="AX75" i="46"/>
  <c r="BV75"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K214" i="46"/>
  <c r="K210" i="46"/>
  <c r="K216" i="46"/>
  <c r="DT75" i="3"/>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CN7" i="46" l="1"/>
  <c r="AI62" i="46"/>
  <c r="AO62" i="46"/>
  <c r="BV62" i="46"/>
  <c r="AX62" i="46"/>
  <c r="CK62" i="46"/>
  <c r="BP62" i="46"/>
  <c r="BA62" i="46"/>
  <c r="BY62" i="46"/>
  <c r="AR62" i="46"/>
  <c r="AL58" i="46"/>
  <c r="AR58" i="46"/>
  <c r="BD58" i="46"/>
  <c r="CK58" i="46"/>
  <c r="T40" i="46"/>
  <c r="AF41" i="46"/>
  <c r="CN41" i="46"/>
  <c r="BP41" i="46"/>
  <c r="CH47" i="46"/>
  <c r="BJ47" i="46"/>
  <c r="CB47" i="46"/>
  <c r="BY47" i="46"/>
  <c r="AO47" i="46"/>
  <c r="AX47" i="46"/>
  <c r="CN47" i="46"/>
  <c r="BP47" i="46"/>
  <c r="CE47" i="46"/>
  <c r="BS47" i="46"/>
  <c r="AR47" i="46"/>
  <c r="BG47" i="46"/>
  <c r="BA47" i="46"/>
  <c r="BG49" i="46"/>
  <c r="CN49" i="46"/>
  <c r="AO52" i="46"/>
  <c r="CB52" i="46"/>
  <c r="BY52" i="46"/>
  <c r="BV52" i="46"/>
  <c r="CE52" i="46"/>
  <c r="AX52" i="46"/>
  <c r="BA52" i="46"/>
  <c r="BD52" i="46"/>
  <c r="BS52" i="46"/>
  <c r="CN52" i="46"/>
  <c r="AU52" i="46"/>
  <c r="BP52" i="46"/>
  <c r="CK52" i="46"/>
  <c r="BJ53" i="46"/>
  <c r="CE53" i="46"/>
  <c r="BS36" i="46"/>
  <c r="CE36" i="46"/>
  <c r="BA7" i="46"/>
  <c r="CK7" i="46"/>
  <c r="CH7" i="46"/>
  <c r="BM7" i="46"/>
  <c r="BV7" i="46"/>
  <c r="AO7" i="46"/>
  <c r="BP7" i="46"/>
  <c r="CE7" i="46"/>
  <c r="BJ7" i="46"/>
  <c r="BG7" i="46"/>
  <c r="BD7" i="46"/>
  <c r="AU7" i="46"/>
  <c r="BY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Z164" i="46"/>
  <c r="BX164" i="46"/>
  <c r="BC164" i="46"/>
  <c r="CA164" i="46"/>
  <c r="BF164" i="46"/>
  <c r="CD164" i="46"/>
  <c r="AN164" i="46"/>
  <c r="BL164" i="46"/>
  <c r="CJ164" i="46"/>
  <c r="AQ164" i="46"/>
  <c r="BO164" i="46"/>
  <c r="CM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32" i="32"/>
  <c r="U3"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Y101"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K99" i="3"/>
  <c r="Y133" i="3"/>
  <c r="X12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BV43" i="3" s="1"/>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F79" i="3"/>
  <c r="E80" i="3"/>
  <c r="F76" i="3"/>
  <c r="BV42" i="3"/>
  <c r="E76" i="3"/>
  <c r="F81" i="3"/>
  <c r="E78" i="3"/>
  <c r="E85" i="3"/>
  <c r="F89" i="3"/>
  <c r="F86" i="3"/>
  <c r="BV50" i="3" l="1"/>
  <c r="BV31" i="3"/>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31" i="3" l="1"/>
  <c r="BX23"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CB45" i="3" s="1"/>
  <c r="H15" i="3"/>
  <c r="I4" i="3"/>
  <c r="CA6" i="3" s="1"/>
  <c r="I15" i="3"/>
  <c r="I95" i="3"/>
  <c r="I92" i="3"/>
  <c r="I62" i="3"/>
  <c r="I64" i="3"/>
  <c r="I63" i="3"/>
  <c r="CB37" i="3" s="1"/>
  <c r="I52" i="3"/>
  <c r="H57" i="3"/>
  <c r="I53" i="3"/>
  <c r="H38" i="3"/>
  <c r="I32" i="3"/>
  <c r="H56" i="3"/>
  <c r="I22" i="3"/>
  <c r="I41" i="3"/>
  <c r="I78" i="3"/>
  <c r="H40" i="3"/>
  <c r="I39" i="3"/>
  <c r="H33" i="3"/>
  <c r="H12" i="3"/>
  <c r="H70" i="3"/>
  <c r="H79" i="3"/>
  <c r="CB43" i="3" s="1"/>
  <c r="I24" i="3"/>
  <c r="H20" i="3"/>
  <c r="I56" i="3"/>
  <c r="H28" i="3"/>
  <c r="I93" i="3"/>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I38" i="3"/>
  <c r="I47" i="3"/>
  <c r="H14" i="3"/>
  <c r="H53" i="3"/>
  <c r="CB33" i="3" s="1"/>
  <c r="H48" i="3"/>
  <c r="H17" i="3"/>
  <c r="Q9" i="6" a="1"/>
  <c r="Q9" i="6" s="1"/>
  <c r="G19" i="46"/>
  <c r="I97" i="3"/>
  <c r="CB51" i="3" s="1"/>
  <c r="H68" i="3"/>
  <c r="I20" i="3"/>
  <c r="I96" i="3"/>
  <c r="H29" i="3"/>
  <c r="H93" i="3"/>
  <c r="CA53" i="3" s="1"/>
  <c r="H6" i="3"/>
  <c r="H9" i="3"/>
  <c r="I5" i="3"/>
  <c r="I69" i="3"/>
  <c r="CA16" i="3"/>
  <c r="CB16" i="3"/>
  <c r="CA47" i="3"/>
  <c r="CB47" i="3"/>
  <c r="E23" i="48"/>
  <c r="F22" i="48" a="1"/>
  <c r="F22" i="48" s="1"/>
  <c r="CB36" i="3" l="1"/>
  <c r="CA19" i="3"/>
  <c r="CA20" i="3"/>
  <c r="CA27" i="3"/>
  <c r="CC27" i="3" s="1"/>
  <c r="CA43" i="3"/>
  <c r="CC43" i="3" s="1"/>
  <c r="CB46" i="3"/>
  <c r="CA52" i="3"/>
  <c r="CB12" i="3"/>
  <c r="CA36" i="3"/>
  <c r="CC36" i="3" s="1"/>
  <c r="CA45" i="3"/>
  <c r="CC45" i="3" s="1"/>
  <c r="CA46" i="3"/>
  <c r="CC46" i="3" s="1"/>
  <c r="CB31" i="3"/>
  <c r="CA50" i="3"/>
  <c r="CB53" i="3"/>
  <c r="CC53" i="3" s="1"/>
  <c r="CA34" i="3"/>
  <c r="CA11" i="3"/>
  <c r="CB20" i="3"/>
  <c r="CA12" i="3"/>
  <c r="CB18" i="3"/>
  <c r="CC18" i="3" s="1"/>
  <c r="CB9" i="3"/>
  <c r="CB44" i="3"/>
  <c r="CA31" i="3"/>
  <c r="CA42" i="3"/>
  <c r="CC42" i="3" s="1"/>
  <c r="CA44" i="3"/>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20" i="3" l="1"/>
  <c r="CC52" i="3"/>
  <c r="CC34" i="3"/>
  <c r="CC12" i="3"/>
  <c r="CC31" i="3"/>
  <c r="CC50" i="3"/>
  <c r="CC11" i="3"/>
  <c r="CC9"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CF46" i="3" s="1"/>
  <c r="K78" i="3"/>
  <c r="K76" i="3"/>
  <c r="L95" i="3"/>
  <c r="L92" i="3"/>
  <c r="K29" i="3"/>
  <c r="CF21" i="3" s="1"/>
  <c r="K94" i="3"/>
  <c r="CF52" i="3" s="1"/>
  <c r="L80" i="3"/>
  <c r="L78" i="3"/>
  <c r="L24" i="3"/>
  <c r="K80" i="3"/>
  <c r="L76" i="3"/>
  <c r="L88" i="3"/>
  <c r="K20" i="3"/>
  <c r="L40" i="3"/>
  <c r="CF23" i="3" s="1"/>
  <c r="K37" i="3"/>
  <c r="K48" i="3"/>
  <c r="L96" i="3"/>
  <c r="L30" i="3"/>
  <c r="K57" i="3"/>
  <c r="K5" i="3"/>
  <c r="K12" i="3"/>
  <c r="L16" i="3"/>
  <c r="CF13" i="3" s="1"/>
  <c r="K86" i="3"/>
  <c r="L17" i="3"/>
  <c r="L94" i="3"/>
  <c r="K93" i="3"/>
  <c r="K54" i="3"/>
  <c r="CF32" i="3" s="1"/>
  <c r="L57" i="3"/>
  <c r="K71" i="3"/>
  <c r="K72" i="3"/>
  <c r="L12" i="3"/>
  <c r="L49" i="3"/>
  <c r="K55" i="3"/>
  <c r="K81" i="3"/>
  <c r="K17" i="3"/>
  <c r="K85" i="3"/>
  <c r="L7" i="3"/>
  <c r="L77" i="3"/>
  <c r="L15" i="3"/>
  <c r="K47" i="3"/>
  <c r="L86" i="3"/>
  <c r="K65" i="3"/>
  <c r="K63" i="3"/>
  <c r="L45" i="3"/>
  <c r="K22" i="3"/>
  <c r="L60" i="3"/>
  <c r="CF34" i="3" s="1"/>
  <c r="K46" i="3"/>
  <c r="L23" i="3"/>
  <c r="L25" i="3"/>
  <c r="K24" i="3"/>
  <c r="L46" i="3"/>
  <c r="CF26" i="3" s="1"/>
  <c r="L48" i="3"/>
  <c r="K38" i="3"/>
  <c r="K69" i="3"/>
  <c r="L41" i="3"/>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K53" i="3"/>
  <c r="CF33" i="3" s="1"/>
  <c r="L4" i="3"/>
  <c r="L64" i="3"/>
  <c r="L54" i="3"/>
  <c r="CF30" i="3" s="1"/>
  <c r="K88" i="3"/>
  <c r="K87" i="3"/>
  <c r="CF47" i="3" s="1"/>
  <c r="K61" i="3"/>
  <c r="CF37" i="3" s="1"/>
  <c r="L47" i="3"/>
  <c r="CF29" i="3" s="1"/>
  <c r="CF49" i="3"/>
  <c r="CF45" i="3"/>
  <c r="CF16" i="3"/>
  <c r="E9" i="51"/>
  <c r="CF22" i="3"/>
  <c r="B46" i="51"/>
  <c r="B47" i="51" s="1"/>
  <c r="E10" i="51"/>
  <c r="E28" i="48"/>
  <c r="F27" i="48" a="1"/>
  <c r="F27" i="48" s="1"/>
  <c r="E12" i="51"/>
  <c r="E11" i="51"/>
  <c r="CF27" i="3" l="1"/>
  <c r="CF20" i="3"/>
  <c r="CF31" i="3"/>
  <c r="CF44" i="3"/>
  <c r="CF50" i="3"/>
  <c r="CF53" i="3"/>
  <c r="CF14" i="3"/>
  <c r="CF6" i="3"/>
  <c r="CF35" i="3"/>
  <c r="CF42" i="3"/>
  <c r="CF43" i="3"/>
  <c r="CF25" i="3"/>
  <c r="CF11"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25" i="3"/>
  <c r="O89" i="3"/>
  <c r="O48" i="3" l="1"/>
  <c r="O46" i="3"/>
  <c r="O86" i="3"/>
  <c r="N71" i="3"/>
  <c r="O88" i="3"/>
  <c r="O93" i="3"/>
  <c r="CI52" i="3" s="1"/>
  <c r="O78" i="3"/>
  <c r="O53" i="3"/>
  <c r="CJ32" i="3" s="1"/>
  <c r="N96" i="3"/>
  <c r="O80" i="3"/>
  <c r="CJ43" i="3" s="1"/>
  <c r="N47" i="3"/>
  <c r="CI27" i="3" s="1"/>
  <c r="O22" i="3"/>
  <c r="CJ17" i="3" s="1"/>
  <c r="N84" i="3"/>
  <c r="CJ47" i="3" s="1"/>
  <c r="O97" i="3"/>
  <c r="O16" i="3"/>
  <c r="N15" i="3"/>
  <c r="CK12" i="3" s="1"/>
  <c r="O15" i="3"/>
  <c r="CI10" i="3" s="1"/>
  <c r="O61" i="3"/>
  <c r="CJ37" i="3"/>
  <c r="N13" i="3"/>
  <c r="CJ13" i="3" s="1"/>
  <c r="N65" i="3"/>
  <c r="O69" i="3"/>
  <c r="O62" i="3"/>
  <c r="N55" i="3"/>
  <c r="CI31" i="3" s="1"/>
  <c r="O20" i="3"/>
  <c r="O64" i="3"/>
  <c r="N5" i="3"/>
  <c r="O14" i="3"/>
  <c r="CI13" i="3" s="1"/>
  <c r="N93" i="3"/>
  <c r="CK53" i="3" s="1"/>
  <c r="N33" i="3"/>
  <c r="CJ20" i="3" s="1"/>
  <c r="N52" i="3"/>
  <c r="O57" i="3"/>
  <c r="N17" i="3"/>
  <c r="O31" i="3"/>
  <c r="O84" i="3"/>
  <c r="CJ46" i="3" s="1"/>
  <c r="O45" i="3"/>
  <c r="N9" i="3"/>
  <c r="O52" i="3"/>
  <c r="N80" i="3"/>
  <c r="O55" i="3"/>
  <c r="CK33" i="3" s="1"/>
  <c r="O81" i="3"/>
  <c r="N76" i="3"/>
  <c r="CK43" i="3" s="1"/>
  <c r="O29" i="3"/>
  <c r="CI20" i="3" s="1"/>
  <c r="O71" i="3"/>
  <c r="N69" i="3"/>
  <c r="O37" i="3"/>
  <c r="CI24" i="3" s="1"/>
  <c r="O60" i="3"/>
  <c r="CJ34" i="3" s="1"/>
  <c r="O47" i="3"/>
  <c r="N8" i="3"/>
  <c r="N31" i="3"/>
  <c r="CI19" i="3" s="1"/>
  <c r="N48" i="3"/>
  <c r="O54" i="3"/>
  <c r="CK30" i="3" s="1"/>
  <c r="N16" i="3"/>
  <c r="CK10" i="3" s="1"/>
  <c r="O56" i="3"/>
  <c r="O38" i="3"/>
  <c r="N73" i="3"/>
  <c r="N24" i="3"/>
  <c r="N64" i="3"/>
  <c r="O5" i="3"/>
  <c r="CI8" i="3" s="1"/>
  <c r="O70" i="3"/>
  <c r="CJ38" i="3" s="1"/>
  <c r="N39" i="3"/>
  <c r="CJ23" i="3" s="1"/>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CI43" i="3" s="1"/>
  <c r="N81" i="3"/>
  <c r="N46" i="3"/>
  <c r="N68" i="3"/>
  <c r="CK39" i="3" s="1"/>
  <c r="O49" i="3"/>
  <c r="O32" i="3"/>
  <c r="N23" i="3"/>
  <c r="N70" i="3"/>
  <c r="N20" i="3"/>
  <c r="CK15" i="3" s="1"/>
  <c r="N30" i="3"/>
  <c r="CK20" i="3" s="1"/>
  <c r="O39" i="3"/>
  <c r="CJ25" i="3" s="1"/>
  <c r="N29" i="3"/>
  <c r="CK21" i="3" s="1"/>
  <c r="N40" i="3"/>
  <c r="O8" i="3"/>
  <c r="CK27" i="3" s="1"/>
  <c r="O33" i="3"/>
  <c r="N94" i="3"/>
  <c r="CJ52" i="3" s="1"/>
  <c r="O9" i="3"/>
  <c r="O23" i="3"/>
  <c r="O95" i="3"/>
  <c r="N87" i="3"/>
  <c r="N88" i="3"/>
  <c r="CJ28" i="3"/>
  <c r="CJ51" i="3"/>
  <c r="CJ19" i="3"/>
  <c r="CI12" i="3"/>
  <c r="CK35" i="3"/>
  <c r="CK45" i="3"/>
  <c r="CJ45" i="3"/>
  <c r="CJ42" i="3"/>
  <c r="CK6" i="3"/>
  <c r="CJ53" i="3"/>
  <c r="CK48" i="3"/>
  <c r="CJ29" i="3"/>
  <c r="CK50" i="3"/>
  <c r="CI33" i="3"/>
  <c r="CK37" i="3"/>
  <c r="CK44" i="3"/>
  <c r="CK28" i="3"/>
  <c r="CJ10" i="3"/>
  <c r="CJ21" i="3"/>
  <c r="CJ49" i="3"/>
  <c r="CI32" i="3"/>
  <c r="CI47" i="3"/>
  <c r="CK18" i="3"/>
  <c r="CI49" i="3"/>
  <c r="CI17" i="3"/>
  <c r="CJ11" i="3"/>
  <c r="CK13" i="3"/>
  <c r="CI35" i="3"/>
  <c r="CI18" i="3"/>
  <c r="CK19" i="3"/>
  <c r="CI46" i="3"/>
  <c r="CK24" i="3"/>
  <c r="CI26" i="3"/>
  <c r="CK42" i="3"/>
  <c r="CI25" i="3"/>
  <c r="CI40" i="3"/>
  <c r="CK41" i="3"/>
  <c r="CK26" i="3"/>
  <c r="CI23" i="3"/>
  <c r="CI16" i="3"/>
  <c r="CI51" i="3"/>
  <c r="CI38" i="3"/>
  <c r="CI45" i="3"/>
  <c r="CK31" i="3"/>
  <c r="CK22" i="3"/>
  <c r="CJ33" i="3"/>
  <c r="CI22" i="3"/>
  <c r="CI11" i="3"/>
  <c r="CI7" i="3"/>
  <c r="CK52" i="3"/>
  <c r="CJ44"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27" i="3"/>
  <c r="CJ26" i="3"/>
  <c r="CJ41" i="3"/>
  <c r="CJ31" i="3" l="1"/>
  <c r="CL31" i="3" s="1"/>
  <c r="CJ36" i="3"/>
  <c r="CL36" i="3" s="1"/>
  <c r="CK9" i="3"/>
  <c r="CI41" i="3"/>
  <c r="CL41" i="3" s="1"/>
  <c r="CJ30" i="3"/>
  <c r="CL30" i="3" s="1"/>
  <c r="CK40" i="3"/>
  <c r="CI14" i="3"/>
  <c r="CJ15" i="3"/>
  <c r="CL15" i="3" s="1"/>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9" i="3"/>
  <c r="CL46" i="3"/>
  <c r="CL33" i="3"/>
  <c r="CL16" i="3"/>
  <c r="CL17" i="3"/>
  <c r="CL44" i="3"/>
  <c r="CL18" i="3"/>
  <c r="CL21" i="3"/>
  <c r="CL20" i="3"/>
  <c r="CL47" i="3"/>
  <c r="CL14" i="3" l="1"/>
  <c r="CM33" i="3" s="1"/>
  <c r="CM36" i="3"/>
  <c r="CM25" i="3"/>
  <c r="CM34" i="3"/>
  <c r="CM47" i="3"/>
  <c r="CM29" i="3"/>
  <c r="CM20" i="3"/>
  <c r="CM8" i="3"/>
  <c r="CM48" i="3"/>
  <c r="CM18" i="3"/>
  <c r="CM9" i="3"/>
  <c r="CM26" i="3"/>
  <c r="CM45" i="3"/>
  <c r="CM40" i="3"/>
  <c r="CM35" i="3"/>
  <c r="CM19" i="3"/>
  <c r="CM51" i="3"/>
  <c r="CM23" i="3"/>
  <c r="CM30" i="3"/>
  <c r="CM53" i="3"/>
  <c r="CM11" i="3"/>
  <c r="CM6" i="3"/>
  <c r="CM7" i="3"/>
  <c r="CM49" i="3"/>
  <c r="CM28" i="3"/>
  <c r="CM21" i="3"/>
  <c r="CM12" i="3"/>
  <c r="CM43" i="3"/>
  <c r="CM27" i="3"/>
  <c r="CM39" i="3"/>
  <c r="CM16" i="3"/>
  <c r="CM17" i="3"/>
  <c r="CM31" i="3" l="1"/>
  <c r="CM46" i="3"/>
  <c r="CM52" i="3"/>
  <c r="CM14" i="3"/>
  <c r="CM50" i="3"/>
  <c r="CM38" i="3"/>
  <c r="CM41" i="3"/>
  <c r="CM24" i="3"/>
  <c r="CM37" i="3"/>
  <c r="CM10" i="3"/>
  <c r="CM22" i="3"/>
  <c r="CM32" i="3"/>
  <c r="CM44" i="3"/>
  <c r="CM15" i="3"/>
  <c r="CM42" i="3"/>
  <c r="CM13" i="3"/>
  <c r="CN42" i="3" l="1"/>
  <c r="Q76" i="3" s="1"/>
  <c r="CN52" i="3"/>
  <c r="R97" i="3" s="1"/>
  <c r="CN35" i="3"/>
  <c r="R60" i="3" s="1"/>
  <c r="CN33" i="3"/>
  <c r="Q57" i="3" s="1"/>
  <c r="CN16" i="3"/>
  <c r="CN39" i="3"/>
  <c r="R71" i="3" s="1"/>
  <c r="CN30" i="3"/>
  <c r="Q52" i="3" s="1"/>
  <c r="CN17" i="3"/>
  <c r="Q24" i="3" s="1"/>
  <c r="CN22" i="3"/>
  <c r="Q38" i="3" s="1"/>
  <c r="CN50" i="3"/>
  <c r="Q92" i="3" s="1"/>
  <c r="CN49" i="3"/>
  <c r="Q88" i="3" s="1"/>
  <c r="CN46" i="3"/>
  <c r="Q86" i="3" s="1"/>
  <c r="CN34" i="3"/>
  <c r="Q60" i="3" s="1"/>
  <c r="CN32" i="3"/>
  <c r="R54" i="3" s="1"/>
  <c r="CN19" i="3"/>
  <c r="Q33" i="3" s="1"/>
  <c r="CN12" i="3"/>
  <c r="R15" i="3" s="1"/>
  <c r="CN36" i="3"/>
  <c r="Q61" i="3" s="1"/>
  <c r="CN15" i="3"/>
  <c r="R22" i="3" s="1"/>
  <c r="CN13" i="3"/>
  <c r="R13" i="3" s="1"/>
  <c r="CN28" i="3"/>
  <c r="R46" i="3" s="1"/>
  <c r="CN20" i="3"/>
  <c r="R33" i="3" s="1"/>
  <c r="CN21" i="3"/>
  <c r="Q32" i="3" s="1"/>
  <c r="CN25" i="3"/>
  <c r="R37" i="3" s="1"/>
  <c r="CN48" i="3"/>
  <c r="Q85" i="3" s="1"/>
  <c r="CN18" i="3"/>
  <c r="Q30" i="3" s="1"/>
  <c r="CN29" i="3"/>
  <c r="R45" i="3" s="1"/>
  <c r="CN53" i="3"/>
  <c r="R93" i="3" s="1"/>
  <c r="CN38" i="3"/>
  <c r="Q68" i="3" s="1"/>
  <c r="CN41" i="3"/>
  <c r="Q71" i="3" s="1"/>
  <c r="CN14" i="3"/>
  <c r="Q20" i="3" s="1"/>
  <c r="CN26" i="3"/>
  <c r="Q44" i="3" s="1"/>
  <c r="CN10" i="3"/>
  <c r="Q15" i="3" s="1"/>
  <c r="CN9" i="3"/>
  <c r="R5" i="3" s="1"/>
  <c r="CN8" i="3"/>
  <c r="R9" i="3" s="1"/>
  <c r="CN43" i="3"/>
  <c r="Q80" i="3" s="1"/>
  <c r="CN24" i="3"/>
  <c r="R40" i="3" s="1"/>
  <c r="CN51" i="3"/>
  <c r="R95" i="3" s="1"/>
  <c r="CN31" i="3"/>
  <c r="Q56" i="3" s="1"/>
  <c r="CN47" i="3"/>
  <c r="R84" i="3" s="1"/>
  <c r="CN23" i="3"/>
  <c r="Q40" i="3" s="1"/>
  <c r="CN37" i="3"/>
  <c r="R61" i="3" s="1"/>
  <c r="CN6" i="3"/>
  <c r="Q7" i="3" s="1"/>
  <c r="CN40" i="3"/>
  <c r="R70" i="3" s="1"/>
  <c r="CN7" i="3"/>
  <c r="R4" i="3" s="1"/>
  <c r="CN27" i="3"/>
  <c r="R44" i="3" s="1"/>
  <c r="CN11" i="3"/>
  <c r="R14" i="3" s="1"/>
  <c r="CN44" i="3"/>
  <c r="Q77" i="3" s="1"/>
  <c r="CN45" i="3"/>
  <c r="Q81" i="3" s="1"/>
  <c r="Q72" i="3"/>
  <c r="Q64" i="3"/>
  <c r="R81" i="3"/>
  <c r="R96" i="3"/>
  <c r="R65" i="3"/>
  <c r="Q97" i="3" l="1"/>
  <c r="Q96" i="3"/>
  <c r="R57" i="3"/>
  <c r="R64" i="3"/>
  <c r="R72" i="3"/>
  <c r="R48" i="3"/>
  <c r="R88" i="3"/>
  <c r="R56" i="3"/>
  <c r="Q73" i="3"/>
  <c r="R73" i="3"/>
  <c r="Q65" i="3"/>
  <c r="R80" i="3"/>
  <c r="Q48" i="3"/>
  <c r="Q89" i="3"/>
  <c r="R89" i="3"/>
  <c r="R16" i="3"/>
  <c r="Q46" i="3"/>
  <c r="R24" i="3"/>
  <c r="Q49" i="3"/>
  <c r="R49" i="3"/>
  <c r="R53" i="3"/>
  <c r="R41" i="3"/>
  <c r="Q41" i="3"/>
  <c r="R32" i="3"/>
  <c r="Q9" i="3"/>
  <c r="R62" i="3"/>
  <c r="Q17" i="3"/>
  <c r="R17" i="3"/>
  <c r="Q16" i="3"/>
  <c r="Q25" i="3"/>
  <c r="R23" i="3"/>
  <c r="R25" i="3"/>
  <c r="R8" i="3"/>
  <c r="Q8" i="3"/>
  <c r="Q54" i="3"/>
  <c r="Q47" i="3"/>
  <c r="CP27" i="3" s="1"/>
  <c r="R38" i="3"/>
  <c r="R47" i="3"/>
  <c r="R39" i="3"/>
  <c r="Q39" i="3"/>
  <c r="Q78" i="3"/>
  <c r="R63" i="3"/>
  <c r="CO37" i="3" s="1"/>
  <c r="Q63" i="3"/>
  <c r="CO35" i="3" s="1"/>
  <c r="Q62" i="3"/>
  <c r="CP36" i="3" s="1"/>
  <c r="Q55" i="3"/>
  <c r="R55" i="3"/>
  <c r="R78" i="3"/>
  <c r="Q79" i="3"/>
  <c r="Q70" i="3"/>
  <c r="R86" i="3"/>
  <c r="Q93" i="3"/>
  <c r="R94" i="3"/>
  <c r="R79" i="3"/>
  <c r="R76" i="3"/>
  <c r="Q45" i="3"/>
  <c r="R68" i="3"/>
  <c r="CO38" i="3" s="1"/>
  <c r="Q94" i="3"/>
  <c r="CP52" i="3" s="1"/>
  <c r="Q36" i="3"/>
  <c r="Q5" i="3"/>
  <c r="R30" i="3"/>
  <c r="Q29" i="3"/>
  <c r="Q21" i="3"/>
  <c r="Q37" i="3"/>
  <c r="R52" i="3"/>
  <c r="CO30" i="3" s="1"/>
  <c r="R28" i="3"/>
  <c r="R31" i="3"/>
  <c r="Q84" i="3"/>
  <c r="R29" i="3"/>
  <c r="CO20" i="3" s="1"/>
  <c r="R92" i="3"/>
  <c r="R87" i="3"/>
  <c r="Q53" i="3"/>
  <c r="CO33" i="3" s="1"/>
  <c r="Q31" i="3"/>
  <c r="R21" i="3"/>
  <c r="Q4" i="3"/>
  <c r="R36" i="3"/>
  <c r="CP22" i="3" s="1"/>
  <c r="R77" i="3"/>
  <c r="R7" i="3"/>
  <c r="Q13" i="3"/>
  <c r="CP13" i="3" s="1"/>
  <c r="Q95" i="3"/>
  <c r="CO51" i="3" s="1"/>
  <c r="Q12" i="3"/>
  <c r="Q14" i="3"/>
  <c r="R69" i="3"/>
  <c r="R12" i="3"/>
  <c r="Q23" i="3"/>
  <c r="CO39" i="3"/>
  <c r="Q6" i="3"/>
  <c r="R6" i="3"/>
  <c r="Q69" i="3"/>
  <c r="CP41" i="3" s="1"/>
  <c r="R20" i="3"/>
  <c r="Q87" i="3"/>
  <c r="Q28" i="3"/>
  <c r="R85" i="3"/>
  <c r="Q22" i="3"/>
  <c r="CO8" i="3"/>
  <c r="CP51" i="3"/>
  <c r="CQ51" i="3" s="1"/>
  <c r="CP8" i="3"/>
  <c r="CO26" i="3"/>
  <c r="CO21" i="3"/>
  <c r="CP39" i="3"/>
  <c r="CP26" i="3"/>
  <c r="CP21" i="3"/>
  <c r="CP34" i="3"/>
  <c r="CO53" i="3"/>
  <c r="CP45" i="3"/>
  <c r="CP18" i="3"/>
  <c r="CO12" i="3"/>
  <c r="CP46" i="3"/>
  <c r="CP16" i="3"/>
  <c r="CP49" i="3"/>
  <c r="CO16" i="3"/>
  <c r="CO46" i="3"/>
  <c r="CO49" i="3"/>
  <c r="CO45" i="3"/>
  <c r="CO29" i="3"/>
  <c r="CO42" i="3"/>
  <c r="CO17" i="3"/>
  <c r="CP48" i="3"/>
  <c r="CP17" i="3"/>
  <c r="CO18" i="3"/>
  <c r="CP6" i="3"/>
  <c r="CP53" i="3"/>
  <c r="CO24" i="3"/>
  <c r="CP12" i="3"/>
  <c r="CO34" i="3"/>
  <c r="CO6" i="3"/>
  <c r="CP24" i="3"/>
  <c r="CO28" i="3"/>
  <c r="CO48" i="3"/>
  <c r="CP28" i="3"/>
  <c r="CP29" i="3"/>
  <c r="CP42" i="3"/>
  <c r="CO43" i="3" l="1"/>
  <c r="CO36" i="3"/>
  <c r="CQ36" i="3" s="1"/>
  <c r="CO31" i="3"/>
  <c r="CP31" i="3"/>
  <c r="CO32" i="3"/>
  <c r="CP14" i="3"/>
  <c r="CO15" i="3"/>
  <c r="CP32" i="3"/>
  <c r="CO10" i="3"/>
  <c r="CP23" i="3"/>
  <c r="CO27" i="3"/>
  <c r="CP37" i="3"/>
  <c r="CQ37" i="3" s="1"/>
  <c r="CP35" i="3"/>
  <c r="CQ35" i="3" s="1"/>
  <c r="CO25" i="3"/>
  <c r="CO44" i="3"/>
  <c r="CP40" i="3"/>
  <c r="CO50" i="3"/>
  <c r="CP43" i="3"/>
  <c r="CP38" i="3"/>
  <c r="CQ38" i="3" s="1"/>
  <c r="CP10" i="3"/>
  <c r="CO23" i="3"/>
  <c r="CP9" i="3"/>
  <c r="CO19" i="3"/>
  <c r="CP33" i="3"/>
  <c r="CQ33" i="3" s="1"/>
  <c r="CO52" i="3"/>
  <c r="CQ52" i="3" s="1"/>
  <c r="CO40" i="3"/>
  <c r="CP15" i="3"/>
  <c r="CO13" i="3"/>
  <c r="CQ13" i="3" s="1"/>
  <c r="CP30" i="3"/>
  <c r="CQ30" i="3" s="1"/>
  <c r="CP11" i="3"/>
  <c r="CO7" i="3"/>
  <c r="CO11" i="3"/>
  <c r="CP47" i="3"/>
  <c r="CP25" i="3"/>
  <c r="CP44" i="3"/>
  <c r="CP50" i="3"/>
  <c r="CO22" i="3"/>
  <c r="CQ22" i="3" s="1"/>
  <c r="CP7" i="3"/>
  <c r="CO41" i="3"/>
  <c r="CQ41" i="3" s="1"/>
  <c r="CP20" i="3"/>
  <c r="CQ20" i="3" s="1"/>
  <c r="CQ27" i="3"/>
  <c r="CP19" i="3"/>
  <c r="CO14" i="3"/>
  <c r="CQ14" i="3" s="1"/>
  <c r="CO47" i="3"/>
  <c r="CQ47" i="3" s="1"/>
  <c r="CO9" i="3"/>
  <c r="CQ39" i="3"/>
  <c r="CQ6" i="3"/>
  <c r="CQ48" i="3"/>
  <c r="CQ53" i="3"/>
  <c r="CQ49" i="3"/>
  <c r="CQ46" i="3"/>
  <c r="CQ16" i="3"/>
  <c r="CQ8" i="3"/>
  <c r="CQ45" i="3"/>
  <c r="CQ26" i="3"/>
  <c r="CQ24" i="3"/>
  <c r="CQ21" i="3"/>
  <c r="CQ34" i="3"/>
  <c r="CQ28" i="3"/>
  <c r="CQ42" i="3"/>
  <c r="CQ29" i="3"/>
  <c r="CQ12" i="3"/>
  <c r="CQ17" i="3"/>
  <c r="CQ18" i="3"/>
  <c r="CQ43" i="3" l="1"/>
  <c r="CQ31" i="3"/>
  <c r="CQ15" i="3"/>
  <c r="CQ32" i="3"/>
  <c r="CQ10" i="3"/>
  <c r="CQ23" i="3"/>
  <c r="CQ50" i="3"/>
  <c r="CQ25" i="3"/>
  <c r="CQ44" i="3"/>
  <c r="CQ40" i="3"/>
  <c r="CQ19" i="3"/>
  <c r="CQ9" i="3"/>
  <c r="CQ11" i="3"/>
  <c r="CQ7" i="3"/>
  <c r="CR41" i="3" s="1"/>
  <c r="CR53" i="3" l="1"/>
  <c r="CR15" i="3"/>
  <c r="CR16" i="3"/>
  <c r="CR18" i="3"/>
  <c r="CR21" i="3"/>
  <c r="CR50" i="3"/>
  <c r="CR14" i="3"/>
  <c r="CR38" i="3"/>
  <c r="CR52" i="3"/>
  <c r="CR13" i="3"/>
  <c r="CR42" i="3"/>
  <c r="CR48" i="3"/>
  <c r="CR22" i="3"/>
  <c r="CR49" i="3"/>
  <c r="CR24" i="3"/>
  <c r="CR28" i="3"/>
  <c r="CR17" i="3"/>
  <c r="CR51" i="3"/>
  <c r="CR36" i="3"/>
  <c r="CR29" i="3"/>
  <c r="CR47" i="3"/>
  <c r="CR46" i="3"/>
  <c r="CR6" i="3"/>
  <c r="CR45" i="3"/>
  <c r="CR8" i="3"/>
  <c r="CR33" i="3"/>
  <c r="CR10" i="3"/>
  <c r="CR32" i="3"/>
  <c r="CR20" i="3"/>
  <c r="CR43" i="3"/>
  <c r="CR44" i="3"/>
  <c r="CR19" i="3"/>
  <c r="CR35" i="3"/>
  <c r="CR30" i="3"/>
  <c r="CR26" i="3"/>
  <c r="CR27" i="3"/>
  <c r="CR37" i="3"/>
  <c r="CR9" i="3"/>
  <c r="CR7" i="3"/>
  <c r="CR11" i="3"/>
  <c r="CR25" i="3"/>
  <c r="CR34" i="3"/>
  <c r="CR39" i="3"/>
  <c r="CR31" i="3"/>
  <c r="CR23" i="3"/>
  <c r="CR40" i="3"/>
  <c r="CR12" i="3"/>
  <c r="CS26" i="3" l="1"/>
  <c r="T44" i="3" s="1"/>
  <c r="CS35" i="3"/>
  <c r="U63" i="3" s="1"/>
  <c r="CS15" i="3"/>
  <c r="T25" i="3" s="1"/>
  <c r="CS33" i="3"/>
  <c r="T55" i="3" s="1"/>
  <c r="CS49" i="3"/>
  <c r="U85" i="3" s="1"/>
  <c r="CS12" i="3"/>
  <c r="U15" i="3" s="1"/>
  <c r="CS13" i="3"/>
  <c r="T14" i="3" s="1"/>
  <c r="CS27" i="3"/>
  <c r="U44" i="3" s="1"/>
  <c r="CS38" i="3"/>
  <c r="T70" i="3" s="1"/>
  <c r="CS21" i="3"/>
  <c r="U29" i="3" s="1"/>
  <c r="CS28" i="3"/>
  <c r="T45" i="3" s="1"/>
  <c r="CS51" i="3"/>
  <c r="U95" i="3" s="1"/>
  <c r="CS11" i="3"/>
  <c r="U14" i="3" s="1"/>
  <c r="CS20" i="3"/>
  <c r="T29" i="3" s="1"/>
  <c r="CS37" i="3"/>
  <c r="U61" i="3" s="1"/>
  <c r="CS39" i="3"/>
  <c r="U68" i="3" s="1"/>
  <c r="CS48" i="3"/>
  <c r="T85" i="3" s="1"/>
  <c r="CS14" i="3"/>
  <c r="T23" i="3" s="1"/>
  <c r="CS30" i="3"/>
  <c r="T52" i="3" s="1"/>
  <c r="CS16" i="3"/>
  <c r="U25" i="3" s="1"/>
  <c r="CS9" i="3"/>
  <c r="U5" i="3" s="1"/>
  <c r="CS23" i="3"/>
  <c r="U36" i="3" s="1"/>
  <c r="CS18" i="3"/>
  <c r="T28" i="3" s="1"/>
  <c r="CS7" i="3"/>
  <c r="U4" i="3" s="1"/>
  <c r="CS44" i="3"/>
  <c r="T77" i="3" s="1"/>
  <c r="CS8" i="3"/>
  <c r="T5" i="3" s="1"/>
  <c r="CS19" i="3"/>
  <c r="U28" i="3" s="1"/>
  <c r="CS6" i="3"/>
  <c r="T7" i="3" s="1"/>
  <c r="CS40" i="3"/>
  <c r="U70" i="3" s="1"/>
  <c r="CS53" i="3"/>
  <c r="U93" i="3" s="1"/>
  <c r="CS10" i="3"/>
  <c r="T12" i="3" s="1"/>
  <c r="CS47" i="3"/>
  <c r="U84" i="3" s="1"/>
  <c r="CS22" i="3"/>
  <c r="U41" i="3" s="1"/>
  <c r="CS31" i="3"/>
  <c r="U55" i="3" s="1"/>
  <c r="CS45" i="3"/>
  <c r="U77" i="3" s="1"/>
  <c r="CS42" i="3"/>
  <c r="T78" i="3" s="1"/>
  <c r="CS46" i="3"/>
  <c r="U88" i="3" s="1"/>
  <c r="CS41" i="3"/>
  <c r="T71" i="3" s="1"/>
  <c r="CS32" i="3"/>
  <c r="T53" i="3" s="1"/>
  <c r="CS17" i="3"/>
  <c r="U21" i="3" s="1"/>
  <c r="CS50" i="3"/>
  <c r="T92" i="3" s="1"/>
  <c r="CS34" i="3"/>
  <c r="T60" i="3" s="1"/>
  <c r="CS43" i="3"/>
  <c r="U76" i="3" s="1"/>
  <c r="CS25" i="3"/>
  <c r="T41" i="3" s="1"/>
  <c r="CS52" i="3"/>
  <c r="T93" i="3" s="1"/>
  <c r="CS36" i="3"/>
  <c r="T61" i="3" s="1"/>
  <c r="CS29" i="3"/>
  <c r="U45" i="3" s="1"/>
  <c r="CS24" i="3"/>
  <c r="T37" i="3" s="1"/>
  <c r="T64" i="3"/>
  <c r="T97" i="3"/>
  <c r="U72" i="3"/>
  <c r="T57" i="3"/>
  <c r="U57" i="3"/>
  <c r="U81" i="3"/>
  <c r="T88" i="3" l="1"/>
  <c r="U73" i="3"/>
  <c r="T65" i="3"/>
  <c r="T73" i="3"/>
  <c r="T96" i="3"/>
  <c r="T72" i="3"/>
  <c r="U56" i="3"/>
  <c r="U64" i="3"/>
  <c r="T81" i="3"/>
  <c r="U65" i="3"/>
  <c r="T56" i="3"/>
  <c r="T80" i="3"/>
  <c r="U80" i="3"/>
  <c r="U97" i="3"/>
  <c r="T89" i="3"/>
  <c r="U89" i="3"/>
  <c r="T49" i="3"/>
  <c r="U49" i="3"/>
  <c r="U96" i="3"/>
  <c r="U40" i="3"/>
  <c r="T40" i="3"/>
  <c r="U48" i="3"/>
  <c r="T48" i="3"/>
  <c r="T8" i="3"/>
  <c r="T16" i="3"/>
  <c r="T33" i="3"/>
  <c r="U16" i="3"/>
  <c r="U33" i="3"/>
  <c r="T13" i="3"/>
  <c r="U20" i="3"/>
  <c r="U22" i="3"/>
  <c r="T32" i="3"/>
  <c r="U32" i="3"/>
  <c r="U24" i="3"/>
  <c r="U17" i="3"/>
  <c r="CT11" i="3" s="1"/>
  <c r="T38" i="3"/>
  <c r="U38" i="3"/>
  <c r="T9" i="3"/>
  <c r="U9" i="3"/>
  <c r="T17" i="3"/>
  <c r="U46" i="3"/>
  <c r="T24" i="3"/>
  <c r="T46" i="3"/>
  <c r="U8" i="3"/>
  <c r="T87" i="3"/>
  <c r="U62" i="3"/>
  <c r="U53" i="3"/>
  <c r="U60" i="3"/>
  <c r="T39" i="3"/>
  <c r="U39" i="3"/>
  <c r="CT25" i="3" s="1"/>
  <c r="T47" i="3"/>
  <c r="CT27" i="3" s="1"/>
  <c r="U47" i="3"/>
  <c r="U6" i="3"/>
  <c r="CT9" i="3" s="1"/>
  <c r="U13" i="3"/>
  <c r="U12" i="3"/>
  <c r="U7" i="3"/>
  <c r="U92" i="3"/>
  <c r="T68" i="3"/>
  <c r="CT39" i="3" s="1"/>
  <c r="T63" i="3"/>
  <c r="CT35" i="3" s="1"/>
  <c r="U30" i="3"/>
  <c r="CT51" i="3"/>
  <c r="T31" i="3"/>
  <c r="T94" i="3"/>
  <c r="CT52" i="3" s="1"/>
  <c r="T62" i="3"/>
  <c r="CT36" i="3" s="1"/>
  <c r="U78" i="3"/>
  <c r="U69" i="3"/>
  <c r="CT40" i="3" s="1"/>
  <c r="U54" i="3"/>
  <c r="U71" i="3"/>
  <c r="T6" i="3"/>
  <c r="U86" i="3"/>
  <c r="U87" i="3"/>
  <c r="T20" i="3"/>
  <c r="T15" i="3"/>
  <c r="T30" i="3"/>
  <c r="CT20" i="3" s="1"/>
  <c r="U23" i="3"/>
  <c r="T54" i="3"/>
  <c r="T21" i="3"/>
  <c r="T86" i="3"/>
  <c r="U79" i="3"/>
  <c r="T69" i="3"/>
  <c r="T4" i="3"/>
  <c r="CT6" i="3"/>
  <c r="U31" i="3"/>
  <c r="T84" i="3"/>
  <c r="T79" i="3"/>
  <c r="U94" i="3"/>
  <c r="T76" i="3"/>
  <c r="U52" i="3"/>
  <c r="T95" i="3"/>
  <c r="T22" i="3"/>
  <c r="T36" i="3"/>
  <c r="CT23" i="3" s="1"/>
  <c r="U37" i="3"/>
  <c r="CT24" i="3" s="1"/>
  <c r="CT16" i="3"/>
  <c r="CT8" i="3"/>
  <c r="CT21" i="3"/>
  <c r="CT26" i="3"/>
  <c r="CT17" i="3"/>
  <c r="CT38" i="3"/>
  <c r="CT46" i="3"/>
  <c r="CT28" i="3"/>
  <c r="CT44" i="3"/>
  <c r="CT49" i="3"/>
  <c r="CT34" i="3"/>
  <c r="CT45" i="3"/>
  <c r="CT29" i="3"/>
  <c r="CT31" i="3"/>
  <c r="CT42" i="3"/>
  <c r="CT53" i="3"/>
  <c r="CT37" i="3"/>
  <c r="CT22" i="3"/>
  <c r="CT13" i="3"/>
  <c r="CT33" i="3"/>
  <c r="CT47" i="3"/>
  <c r="CT48" i="3"/>
  <c r="CT18" i="3"/>
  <c r="CT10" i="3" l="1"/>
  <c r="CT19" i="3"/>
  <c r="CT14" i="3"/>
  <c r="CT50" i="3"/>
  <c r="CT12" i="3"/>
  <c r="CT32" i="3"/>
  <c r="CT41" i="3"/>
  <c r="CT30" i="3"/>
  <c r="CT43" i="3"/>
  <c r="CT15" i="3"/>
  <c r="CT7" i="3"/>
  <c r="CU8" i="3" s="1"/>
  <c r="CU48" i="3" l="1"/>
  <c r="CU29" i="3"/>
  <c r="CU42" i="3"/>
  <c r="CU36" i="3"/>
  <c r="CU28" i="3"/>
  <c r="CU17" i="3"/>
  <c r="CU47" i="3"/>
  <c r="CU16" i="3"/>
  <c r="CU46" i="3"/>
  <c r="CU21" i="3"/>
  <c r="CU31" i="3"/>
  <c r="CU6" i="3"/>
  <c r="CU18" i="3"/>
  <c r="CU49" i="3"/>
  <c r="CU53" i="3"/>
  <c r="CU45" i="3"/>
  <c r="CU33" i="3"/>
  <c r="CU34" i="3"/>
  <c r="CU51" i="3"/>
  <c r="CU12" i="3"/>
  <c r="CU7" i="3"/>
  <c r="CU39" i="3"/>
  <c r="CU23" i="3"/>
  <c r="CU25" i="3"/>
  <c r="CU32" i="3"/>
  <c r="CU13" i="3"/>
  <c r="CU41" i="3"/>
  <c r="CU15" i="3"/>
  <c r="CU52" i="3"/>
  <c r="CU24" i="3"/>
  <c r="CU22" i="3"/>
  <c r="CU50" i="3"/>
  <c r="CU14" i="3"/>
  <c r="CU10" i="3"/>
  <c r="CU40" i="3"/>
  <c r="CU27" i="3"/>
  <c r="CU26" i="3"/>
  <c r="CU30" i="3"/>
  <c r="CU19" i="3"/>
  <c r="CU35" i="3"/>
  <c r="CU37" i="3"/>
  <c r="CU20" i="3"/>
  <c r="CU43" i="3"/>
  <c r="CU44" i="3"/>
  <c r="CU38" i="3"/>
  <c r="CU11" i="3"/>
  <c r="CU9" i="3"/>
  <c r="CV23" i="3" l="1"/>
  <c r="CW23" i="3" s="1"/>
  <c r="CV47" i="3"/>
  <c r="CW47" i="3" s="1"/>
  <c r="CV22" i="3"/>
  <c r="CW22" i="3" s="1"/>
  <c r="CV33" i="3"/>
  <c r="CW33" i="3" s="1"/>
  <c r="CV34" i="3"/>
  <c r="CW34" i="3" s="1"/>
  <c r="CV53" i="3"/>
  <c r="CW53" i="3" s="1"/>
  <c r="CV42" i="3"/>
  <c r="CW42" i="3" s="1"/>
  <c r="CV8" i="3"/>
  <c r="CW8" i="3" s="1"/>
  <c r="CV36" i="3"/>
  <c r="CW36" i="3" s="1"/>
  <c r="CV38" i="3"/>
  <c r="CW38" i="3" s="1"/>
  <c r="CV44" i="3"/>
  <c r="CW44" i="3" s="1"/>
  <c r="CV9" i="3"/>
  <c r="CW9" i="3" s="1"/>
  <c r="CV15" i="3"/>
  <c r="CW15" i="3" s="1"/>
  <c r="CV30" i="3"/>
  <c r="CW30" i="3" s="1"/>
  <c r="CV49" i="3"/>
  <c r="CW49" i="3" s="1"/>
  <c r="CV10" i="3"/>
  <c r="CW10" i="3" s="1"/>
  <c r="CV12" i="3"/>
  <c r="CW12" i="3" s="1"/>
  <c r="CV40" i="3"/>
  <c r="CW40" i="3" s="1"/>
  <c r="CV16" i="3"/>
  <c r="CW16" i="3" s="1"/>
  <c r="CV51" i="3"/>
  <c r="CW51" i="3" s="1"/>
  <c r="CV50" i="3"/>
  <c r="CW50" i="3" s="1"/>
  <c r="CV39" i="3"/>
  <c r="CW39" i="3" s="1"/>
  <c r="CV32" i="3"/>
  <c r="CW32" i="3" s="1"/>
  <c r="CV17" i="3"/>
  <c r="CW17" i="3" s="1"/>
  <c r="CV11" i="3"/>
  <c r="CW11" i="3" s="1"/>
  <c r="CV48" i="3"/>
  <c r="CW48" i="3" s="1"/>
  <c r="CV18" i="3"/>
  <c r="CW18" i="3" s="1"/>
  <c r="CV37" i="3"/>
  <c r="CW37" i="3" s="1"/>
  <c r="CV46" i="3"/>
  <c r="CW46" i="3" s="1"/>
  <c r="CV20" i="3"/>
  <c r="CW20" i="3" s="1"/>
  <c r="CV28" i="3"/>
  <c r="CW28" i="3" s="1"/>
  <c r="CV6" i="3"/>
  <c r="CW6" i="3" s="1"/>
  <c r="CV35" i="3"/>
  <c r="CW35" i="3" s="1"/>
  <c r="CV26" i="3"/>
  <c r="CW26" i="3" s="1"/>
  <c r="CV52" i="3"/>
  <c r="CW52" i="3" s="1"/>
  <c r="CV31" i="3"/>
  <c r="CW31" i="3" s="1"/>
  <c r="CV14" i="3"/>
  <c r="CW14" i="3" s="1"/>
  <c r="CV21" i="3"/>
  <c r="CW21" i="3" s="1"/>
  <c r="CV43" i="3"/>
  <c r="CW43" i="3" s="1"/>
  <c r="CV7" i="3"/>
  <c r="CW7" i="3" s="1"/>
  <c r="CV25" i="3"/>
  <c r="CW25" i="3" s="1"/>
  <c r="CV24" i="3"/>
  <c r="CW24" i="3" s="1"/>
  <c r="CV29" i="3"/>
  <c r="CW29" i="3" s="1"/>
  <c r="CV41" i="3"/>
  <c r="CW41" i="3" s="1"/>
  <c r="CV13" i="3"/>
  <c r="CW13" i="3" s="1"/>
  <c r="CV19" i="3"/>
  <c r="CW19" i="3" s="1"/>
  <c r="CV27" i="3"/>
  <c r="CW27" i="3" s="1"/>
  <c r="CV45" i="3"/>
  <c r="CW45" i="3" s="1"/>
  <c r="CX45" i="3" l="1"/>
  <c r="CX24" i="3"/>
  <c r="CX26" i="3"/>
  <c r="CX16" i="3"/>
  <c r="CX48" i="3"/>
  <c r="CX40" i="3"/>
  <c r="CX36" i="3"/>
  <c r="CX15" i="3"/>
  <c r="CX30" i="3"/>
  <c r="CX10" i="3"/>
  <c r="CX14" i="3"/>
  <c r="CX39" i="3"/>
  <c r="CX20" i="3"/>
  <c r="CX42" i="3"/>
  <c r="CX22" i="3"/>
  <c r="CX37" i="3"/>
  <c r="CX50" i="3"/>
  <c r="CX27" i="3"/>
  <c r="CX28" i="3"/>
  <c r="CX12" i="3"/>
  <c r="CX38" i="3"/>
  <c r="CX34" i="3"/>
  <c r="CX33" i="3"/>
  <c r="CX7" i="3"/>
  <c r="CX21" i="3"/>
  <c r="CX17" i="3"/>
  <c r="CX23" i="3"/>
  <c r="CX43" i="3"/>
  <c r="CX25" i="3"/>
  <c r="CX32" i="3"/>
  <c r="CX18" i="3"/>
  <c r="CX49" i="3"/>
  <c r="CX51" i="3"/>
  <c r="CX47" i="3"/>
  <c r="CX9" i="3"/>
  <c r="CX29" i="3"/>
  <c r="CX19" i="3"/>
  <c r="CX6" i="3"/>
  <c r="CX13" i="3"/>
  <c r="CX31" i="3"/>
  <c r="CX52" i="3"/>
  <c r="CX35" i="3"/>
  <c r="CX8" i="3"/>
  <c r="CX46" i="3"/>
  <c r="CX41" i="3"/>
  <c r="CX53" i="3"/>
  <c r="CX11" i="3"/>
  <c r="CX44" i="3"/>
  <c r="CY48" i="3" l="1"/>
  <c r="CZ48" i="3" s="1"/>
  <c r="CY25" i="3"/>
  <c r="CZ25" i="3" s="1"/>
  <c r="CY35" i="3"/>
  <c r="CZ35" i="3" s="1"/>
  <c r="CY42" i="3"/>
  <c r="CY52" i="3"/>
  <c r="CZ52" i="3" s="1"/>
  <c r="CY20" i="3"/>
  <c r="CZ20" i="3" s="1"/>
  <c r="CY31" i="3"/>
  <c r="CZ31" i="3" s="1"/>
  <c r="CY39" i="3"/>
  <c r="CZ39" i="3" s="1"/>
  <c r="CY13" i="3"/>
  <c r="CZ13" i="3" s="1"/>
  <c r="CY51" i="3"/>
  <c r="CZ51" i="3" s="1"/>
  <c r="CY16" i="3"/>
  <c r="CZ16" i="3" s="1"/>
  <c r="CY8" i="3"/>
  <c r="CZ8" i="3" s="1"/>
  <c r="CY29" i="3"/>
  <c r="CZ29" i="3" s="1"/>
  <c r="CY41" i="3"/>
  <c r="CZ41" i="3" s="1"/>
  <c r="CY12" i="3"/>
  <c r="CZ12" i="3" s="1"/>
  <c r="CY53" i="3"/>
  <c r="CZ53" i="3" s="1"/>
  <c r="CY49" i="3"/>
  <c r="CZ49" i="3" s="1"/>
  <c r="CY27" i="3"/>
  <c r="CZ27" i="3" s="1"/>
  <c r="CY30" i="3"/>
  <c r="CZ30" i="3" s="1"/>
  <c r="CY18" i="3"/>
  <c r="CZ18" i="3" s="1"/>
  <c r="CY50" i="3"/>
  <c r="CZ50" i="3" s="1"/>
  <c r="CY46" i="3"/>
  <c r="CZ46" i="3" s="1"/>
  <c r="CY32" i="3"/>
  <c r="CZ32" i="3" s="1"/>
  <c r="CY37" i="3"/>
  <c r="CZ37" i="3" s="1"/>
  <c r="CY33" i="3"/>
  <c r="CZ33" i="3" s="1"/>
  <c r="CY21" i="3"/>
  <c r="CZ21" i="3" s="1"/>
  <c r="CY47" i="3"/>
  <c r="CZ47" i="3" s="1"/>
  <c r="CY43" i="3"/>
  <c r="CZ43" i="3" s="1"/>
  <c r="CY9" i="3"/>
  <c r="CZ9" i="3" s="1"/>
  <c r="CY7" i="3"/>
  <c r="CZ7" i="3" s="1"/>
  <c r="CY11" i="3"/>
  <c r="CZ11" i="3" s="1"/>
  <c r="CY17" i="3"/>
  <c r="CZ17" i="3" s="1"/>
  <c r="CY10" i="3"/>
  <c r="CZ10" i="3" s="1"/>
  <c r="CY19" i="3"/>
  <c r="CZ19" i="3" s="1"/>
  <c r="CY22" i="3"/>
  <c r="CZ22" i="3" s="1"/>
  <c r="CY14" i="3"/>
  <c r="CZ14" i="3" s="1"/>
  <c r="CY23" i="3"/>
  <c r="CZ23" i="3" s="1"/>
  <c r="CY38" i="3"/>
  <c r="CZ38" i="3" s="1"/>
  <c r="CY45" i="3"/>
  <c r="CZ45" i="3" s="1"/>
  <c r="CY26" i="3"/>
  <c r="CZ26" i="3" s="1"/>
  <c r="CY34" i="3"/>
  <c r="CZ34" i="3" s="1"/>
  <c r="CY6" i="3"/>
  <c r="CZ6" i="3" s="1"/>
  <c r="CY24" i="3"/>
  <c r="CZ24" i="3" s="1"/>
  <c r="CY44" i="3"/>
  <c r="CZ44" i="3" s="1"/>
  <c r="CY28" i="3"/>
  <c r="CZ28" i="3" s="1"/>
  <c r="CY15" i="3"/>
  <c r="CZ15" i="3" s="1"/>
  <c r="CY40" i="3"/>
  <c r="CZ40" i="3" s="1"/>
  <c r="CY36" i="3"/>
  <c r="CZ36" i="3" s="1"/>
  <c r="CZ42"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W20"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1" i="45" l="1"/>
  <c r="BN47" i="45"/>
  <c r="BN26" i="45"/>
  <c r="BN33" i="45"/>
  <c r="BN18" i="45"/>
  <c r="BN20" i="45"/>
  <c r="BN14" i="45"/>
  <c r="BN24" i="45"/>
  <c r="BN15" i="45"/>
  <c r="BN51" i="45"/>
  <c r="BN29" i="45"/>
  <c r="BN30" i="45"/>
  <c r="BN42" i="45"/>
  <c r="BN41" i="45"/>
  <c r="BN6" i="45"/>
  <c r="BN10" i="45"/>
  <c r="BN7" i="45"/>
  <c r="BN34" i="45"/>
  <c r="BN21" i="45"/>
  <c r="BN16" i="45"/>
  <c r="BN35" i="45"/>
  <c r="BN49" i="45"/>
  <c r="BN37" i="45"/>
  <c r="BN32" i="45"/>
  <c r="BN48" i="45"/>
  <c r="BN8" i="45"/>
  <c r="BN5" i="45"/>
  <c r="BN36" i="45"/>
  <c r="BN27" i="45"/>
  <c r="BN28" i="45"/>
  <c r="BN44" i="45"/>
  <c r="BN45" i="45"/>
  <c r="BN31" i="45"/>
  <c r="BN50" i="45"/>
  <c r="BN40" i="45"/>
  <c r="BN4" i="45"/>
  <c r="BN19" i="45"/>
  <c r="BN13" i="45"/>
  <c r="BN25" i="45"/>
  <c r="BN39" i="45"/>
  <c r="BN43" i="45"/>
  <c r="BN23" i="45"/>
  <c r="BN38" i="45"/>
  <c r="BN46" i="45"/>
  <c r="BN22" i="45"/>
  <c r="BN12" i="45"/>
  <c r="BN17" i="45"/>
  <c r="BN9"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H20" i="48"/>
  <c r="H19" i="48"/>
  <c r="H14" i="48"/>
  <c r="H10" i="48"/>
  <c r="H16" i="48"/>
  <c r="H17" i="48"/>
  <c r="H26" i="48"/>
  <c r="H24" i="48"/>
  <c r="H6" i="48"/>
  <c r="H28" i="48"/>
  <c r="H21" i="48"/>
  <c r="H7" i="48"/>
  <c r="H13" i="48"/>
  <c r="H5" i="48"/>
  <c r="H25" i="48"/>
  <c r="H11" i="48"/>
  <c r="H18" i="48"/>
  <c r="H4" i="48"/>
  <c r="H27" i="48"/>
  <c r="H8" i="48"/>
  <c r="H23" i="48"/>
  <c r="H15" i="48"/>
  <c r="H12" i="48"/>
  <c r="H22"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AX259" i="46" s="1"/>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CN259" i="46"/>
  <c r="T242" i="46"/>
  <c r="M242" i="46"/>
  <c r="P3" i="47" s="1"/>
  <c r="M28" i="50" l="1"/>
  <c r="N28" i="50"/>
  <c r="O28" i="50"/>
  <c r="X28" i="50"/>
  <c r="J28" i="50"/>
  <c r="AI28" i="50"/>
  <c r="U28" i="50"/>
  <c r="V28" i="50"/>
  <c r="W28" i="50"/>
  <c r="AF28" i="50"/>
  <c r="K28" i="50"/>
  <c r="R28" i="50"/>
  <c r="AA28" i="50"/>
  <c r="AC28" i="50"/>
  <c r="AD28" i="50"/>
  <c r="AE28" i="50"/>
  <c r="I28" i="50"/>
  <c r="Z28" i="50"/>
  <c r="AK28" i="50"/>
  <c r="AL28" i="50"/>
  <c r="AM28" i="50"/>
  <c r="Q28" i="50"/>
  <c r="AH28" i="50"/>
  <c r="L28" i="50"/>
  <c r="Y28" i="50"/>
  <c r="AB28" i="50"/>
  <c r="T28" i="50"/>
  <c r="AG28" i="50"/>
  <c r="AJ28" i="50"/>
  <c r="P28" i="50"/>
  <c r="S28" i="50"/>
  <c r="H28" i="50"/>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AC28" i="48"/>
  <c r="AF20" i="48"/>
  <c r="K19" i="48"/>
  <c r="Q19" i="48"/>
  <c r="AK20" i="48"/>
  <c r="AL15" i="48"/>
  <c r="AA20" i="48"/>
  <c r="O28" i="48"/>
  <c r="AK26" i="48"/>
  <c r="AD21" i="48"/>
  <c r="AI9" i="48"/>
  <c r="AF11" i="48"/>
  <c r="AI19" i="48"/>
  <c r="K27" i="48"/>
  <c r="AC23" i="48"/>
  <c r="AB13" i="48"/>
  <c r="AK23" i="48"/>
  <c r="AI14" i="48"/>
  <c r="AA9" i="48"/>
  <c r="X16" i="48"/>
  <c r="AD24" i="48"/>
  <c r="P19" i="48"/>
  <c r="L25" i="48"/>
  <c r="Y12" i="48"/>
  <c r="AF25" i="48"/>
  <c r="W13" i="48"/>
  <c r="AL9" i="48"/>
  <c r="I25" i="48"/>
  <c r="AD13" i="48"/>
  <c r="I17" i="48"/>
  <c r="AH28" i="48"/>
  <c r="R23" i="48"/>
  <c r="V16" i="48"/>
  <c r="AI12" i="48"/>
  <c r="AH15" i="48"/>
  <c r="M23" i="48"/>
  <c r="AK17" i="48"/>
  <c r="AL22" i="48"/>
  <c r="W28" i="48"/>
  <c r="AH17" i="48"/>
  <c r="W18" i="48"/>
  <c r="S19" i="48"/>
  <c r="AL24" i="48"/>
  <c r="R13" i="48"/>
  <c r="AD28" i="48"/>
  <c r="Z21" i="48"/>
  <c r="J18" i="48"/>
  <c r="AH23" i="48"/>
  <c r="K9" i="48"/>
  <c r="X25" i="48"/>
  <c r="Q21" i="48"/>
  <c r="AG27" i="48"/>
  <c r="AL14" i="48"/>
  <c r="AD25" i="48"/>
  <c r="V24" i="48"/>
  <c r="O11" i="48"/>
  <c r="S12" i="48"/>
  <c r="S24" i="48"/>
  <c r="AC20" i="48"/>
  <c r="M26" i="48"/>
  <c r="O27" i="48"/>
  <c r="Y27" i="48"/>
  <c r="L28" i="48"/>
  <c r="K25" i="48"/>
  <c r="R26" i="48"/>
  <c r="X10" i="48"/>
  <c r="I27" i="48"/>
  <c r="T9" i="48"/>
  <c r="Z9" i="48"/>
  <c r="R21" i="48"/>
  <c r="M17" i="48"/>
  <c r="S23" i="48"/>
  <c r="AL21" i="48"/>
  <c r="AA11" i="48"/>
  <c r="Y14" i="48"/>
  <c r="R28" i="48"/>
  <c r="T17" i="48"/>
  <c r="AC19" i="48"/>
  <c r="T16" i="48"/>
  <c r="O12" i="48"/>
  <c r="AC22" i="48"/>
  <c r="AF10" i="48"/>
  <c r="AE21" i="48"/>
  <c r="AF24" i="48"/>
  <c r="AF28" i="48"/>
  <c r="P26" i="48"/>
  <c r="J12" i="48"/>
  <c r="Y24" i="48"/>
  <c r="O19" i="48"/>
  <c r="P27" i="48"/>
  <c r="AL27" i="48"/>
  <c r="P10" i="48"/>
  <c r="Y19" i="48"/>
  <c r="I10" i="48"/>
  <c r="AI13" i="48"/>
  <c r="J9" i="48"/>
  <c r="W20" i="48"/>
  <c r="S10" i="48"/>
  <c r="W21" i="48"/>
  <c r="N14" i="48"/>
  <c r="W24" i="48"/>
  <c r="U11" i="48"/>
  <c r="V22" i="48"/>
  <c r="M27" i="48"/>
  <c r="R20" i="48"/>
  <c r="AK22" i="48"/>
  <c r="AK15" i="48"/>
  <c r="J17" i="48"/>
  <c r="N24" i="48"/>
  <c r="AB11" i="48"/>
  <c r="AF26" i="48"/>
  <c r="AD10" i="48"/>
  <c r="U24" i="48"/>
  <c r="L27" i="48"/>
  <c r="I23" i="48"/>
  <c r="AF16" i="48"/>
  <c r="U19" i="48"/>
  <c r="AH27" i="48"/>
  <c r="N27" i="48"/>
  <c r="U22" i="48"/>
  <c r="AE28" i="48"/>
  <c r="R19" i="48"/>
  <c r="N13" i="48"/>
  <c r="S21" i="48"/>
  <c r="X15" i="48"/>
  <c r="Q18" i="48"/>
  <c r="AJ11" i="48"/>
  <c r="AH10" i="48"/>
  <c r="V10" i="48"/>
  <c r="AB19" i="48"/>
  <c r="AE22" i="48"/>
  <c r="AA21" i="48"/>
  <c r="O22" i="48"/>
  <c r="AF18" i="48"/>
  <c r="AD9" i="48"/>
  <c r="AJ19" i="48"/>
  <c r="AJ21" i="48"/>
  <c r="U26" i="48"/>
  <c r="N26" i="48"/>
  <c r="Y9" i="48"/>
  <c r="AJ16" i="48"/>
  <c r="AI11" i="48"/>
  <c r="AJ28" i="48"/>
  <c r="L16" i="48"/>
  <c r="AC10" i="48"/>
  <c r="AD19" i="48"/>
  <c r="W14" i="48"/>
  <c r="Z22" i="48"/>
  <c r="N20" i="48"/>
  <c r="T15" i="48"/>
  <c r="AK21" i="48"/>
  <c r="AI22" i="48"/>
  <c r="P17" i="48"/>
  <c r="X28" i="48"/>
  <c r="AD12" i="48"/>
  <c r="P24" i="48"/>
  <c r="M15" i="48"/>
  <c r="AH16" i="48"/>
  <c r="R11" i="48"/>
  <c r="Q13" i="48"/>
  <c r="J16" i="48"/>
  <c r="P18" i="48"/>
  <c r="AJ17" i="48"/>
  <c r="K20" i="48"/>
  <c r="AG23" i="48"/>
  <c r="AE14" i="48"/>
  <c r="O17" i="48"/>
  <c r="Z26" i="48"/>
  <c r="Y18" i="48"/>
  <c r="R27" i="48"/>
  <c r="AH20" i="48"/>
  <c r="K11" i="48"/>
  <c r="O21" i="48"/>
  <c r="AH11" i="48"/>
  <c r="O26" i="48"/>
  <c r="AI20" i="48"/>
  <c r="AE17" i="48"/>
  <c r="S28" i="48"/>
  <c r="I16" i="48"/>
  <c r="AC24" i="48"/>
  <c r="J24" i="48"/>
  <c r="L9" i="48"/>
  <c r="AG15" i="48"/>
  <c r="Z27" i="48"/>
  <c r="AD15" i="48"/>
  <c r="Z17" i="48"/>
  <c r="AJ25" i="48"/>
  <c r="X14" i="48"/>
  <c r="M9" i="48"/>
  <c r="W11" i="48"/>
  <c r="W10" i="48"/>
  <c r="X9" i="48"/>
  <c r="Q24" i="48"/>
  <c r="AA18" i="48"/>
  <c r="T10" i="48"/>
  <c r="AG19" i="48"/>
  <c r="M21" i="48"/>
  <c r="N17" i="48"/>
  <c r="P13" i="48"/>
  <c r="Z11" i="48"/>
  <c r="AE24" i="48"/>
  <c r="AA16" i="48"/>
  <c r="AI24" i="48"/>
  <c r="Y26" i="48"/>
  <c r="AL16" i="48"/>
  <c r="AE13" i="48"/>
  <c r="K21" i="48"/>
  <c r="AJ13" i="48"/>
  <c r="AI23" i="48"/>
  <c r="T13" i="48"/>
  <c r="W9" i="48"/>
  <c r="Q26" i="48"/>
  <c r="L23" i="48"/>
  <c r="N22" i="48"/>
  <c r="X17" i="48"/>
  <c r="AA14" i="48"/>
  <c r="AA23" i="48"/>
  <c r="AL28" i="48"/>
  <c r="P25" i="48"/>
  <c r="K22" i="48"/>
  <c r="Y11" i="48"/>
  <c r="J11" i="48"/>
  <c r="AG13" i="48"/>
  <c r="U18" i="48"/>
  <c r="AK28" i="48"/>
  <c r="R16" i="48"/>
  <c r="Y23" i="48"/>
  <c r="S9" i="48"/>
  <c r="Z20" i="48"/>
  <c r="M13" i="48"/>
  <c r="P28" i="48"/>
  <c r="V13" i="48"/>
  <c r="AD18" i="48"/>
  <c r="X21" i="48"/>
  <c r="M25" i="48"/>
  <c r="AA17" i="48"/>
  <c r="AE26" i="48"/>
  <c r="AI27" i="48"/>
  <c r="AG14" i="48"/>
  <c r="AG20" i="48"/>
  <c r="AE23" i="48"/>
  <c r="AB26" i="48"/>
  <c r="AI16" i="48"/>
  <c r="AD23" i="48"/>
  <c r="AC15" i="48"/>
  <c r="AB14" i="48"/>
  <c r="L10" i="48"/>
  <c r="J21" i="48"/>
  <c r="Y17" i="48"/>
  <c r="M20" i="48"/>
  <c r="P11" i="48"/>
  <c r="P14" i="48"/>
  <c r="AL25" i="48"/>
  <c r="X19" i="48"/>
  <c r="I21" i="48"/>
  <c r="X26" i="48"/>
  <c r="AC17" i="48"/>
  <c r="AC26" i="48"/>
  <c r="AE20" i="48"/>
  <c r="AB25" i="48"/>
  <c r="K26" i="48"/>
  <c r="AJ27" i="48"/>
  <c r="Y22" i="48"/>
  <c r="R14" i="48"/>
  <c r="V21" i="48"/>
  <c r="J26" i="48"/>
  <c r="AL12" i="48"/>
  <c r="S17" i="48"/>
  <c r="I14" i="48"/>
  <c r="AL23" i="48"/>
  <c r="AI10" i="48"/>
  <c r="V11" i="48"/>
  <c r="Z13" i="48"/>
  <c r="J25" i="48"/>
  <c r="AF12" i="48"/>
  <c r="R15" i="48"/>
  <c r="AG18" i="48"/>
  <c r="M10" i="48"/>
  <c r="Y15" i="48"/>
  <c r="W17" i="48"/>
  <c r="K18" i="48"/>
  <c r="AG9" i="48"/>
  <c r="AC13" i="48"/>
  <c r="AL18" i="48"/>
  <c r="I11" i="48"/>
  <c r="AG11" i="48"/>
  <c r="AB9" i="48"/>
  <c r="Q10" i="48"/>
  <c r="Q14" i="48"/>
  <c r="I15" i="48"/>
  <c r="S22" i="48"/>
  <c r="T24" i="48"/>
  <c r="Q27" i="48"/>
  <c r="U13" i="48"/>
  <c r="M24" i="48"/>
  <c r="V23" i="48"/>
  <c r="Y10" i="48"/>
  <c r="L17" i="48"/>
  <c r="AG24" i="48"/>
  <c r="Z14" i="48"/>
  <c r="K28" i="48"/>
  <c r="AG22" i="48"/>
  <c r="Q17" i="48"/>
  <c r="AD17" i="48"/>
  <c r="V26" i="48"/>
  <c r="I28" i="48"/>
  <c r="S27" i="48"/>
  <c r="S14" i="48"/>
  <c r="W16" i="48"/>
  <c r="AK25" i="48"/>
  <c r="K23" i="48"/>
  <c r="AE12" i="48"/>
  <c r="Y13" i="48"/>
  <c r="R24" i="48"/>
  <c r="K10" i="48"/>
  <c r="J28" i="48"/>
  <c r="AH13" i="48"/>
  <c r="AF14" i="48"/>
  <c r="AB27" i="48"/>
  <c r="K24" i="48"/>
  <c r="AJ18" i="48"/>
  <c r="R9" i="48"/>
  <c r="AF13" i="48"/>
  <c r="P21" i="48"/>
  <c r="L15" i="48"/>
  <c r="AG21" i="48"/>
  <c r="W22" i="48"/>
  <c r="AK18" i="48"/>
  <c r="I26" i="48"/>
  <c r="AA15" i="48"/>
  <c r="P23" i="48"/>
  <c r="AI21" i="48"/>
  <c r="AB16" i="48"/>
  <c r="AH19" i="48"/>
  <c r="AD11" i="48"/>
  <c r="AB10" i="48"/>
  <c r="O24" i="48"/>
  <c r="U20" i="48"/>
  <c r="Z15" i="48"/>
  <c r="AF23" i="48"/>
  <c r="L19" i="48"/>
  <c r="X23" i="48"/>
  <c r="AK10" i="48"/>
  <c r="T18" i="48"/>
  <c r="T19" i="48"/>
  <c r="AG10" i="48"/>
  <c r="T21" i="48"/>
  <c r="AK9" i="48"/>
  <c r="AC18" i="48"/>
  <c r="AH14" i="48"/>
  <c r="U28" i="48"/>
  <c r="L14" i="48"/>
  <c r="AF21" i="48"/>
  <c r="X13" i="48"/>
  <c r="Z23" i="48"/>
  <c r="P9" i="48"/>
  <c r="AB22" i="48"/>
  <c r="K17" i="48"/>
  <c r="AG26" i="48"/>
  <c r="AL10" i="48"/>
  <c r="AK19" i="48"/>
  <c r="AL20" i="48"/>
  <c r="I19" i="48"/>
  <c r="AJ15" i="48"/>
  <c r="U10" i="48"/>
  <c r="W25" i="48"/>
  <c r="X22" i="48"/>
  <c r="AF15" i="48"/>
  <c r="AE25" i="48"/>
  <c r="AJ14" i="48"/>
  <c r="M22" i="48"/>
  <c r="T12" i="48"/>
  <c r="Z28" i="48"/>
  <c r="Q11" i="48"/>
  <c r="AD16" i="48"/>
  <c r="Z18" i="48"/>
  <c r="AH12" i="48"/>
  <c r="I24" i="48"/>
  <c r="J22" i="48"/>
  <c r="J27" i="48"/>
  <c r="M28" i="48"/>
  <c r="AJ9" i="48"/>
  <c r="AB24" i="48"/>
  <c r="AB17" i="48"/>
  <c r="L18" i="48"/>
  <c r="U17" i="48"/>
  <c r="AC21" i="48"/>
  <c r="V9" i="48"/>
  <c r="U25" i="48"/>
  <c r="AL17" i="48"/>
  <c r="AA25" i="48"/>
  <c r="AC14" i="48"/>
  <c r="V27" i="48"/>
  <c r="AA13" i="48"/>
  <c r="AB15" i="48"/>
  <c r="AJ26" i="48"/>
  <c r="N18" i="48"/>
  <c r="Z19" i="48"/>
  <c r="V20" i="48"/>
  <c r="AC11" i="48"/>
  <c r="K12" i="48"/>
  <c r="R10" i="48"/>
  <c r="M11" i="48"/>
  <c r="AE27" i="48"/>
  <c r="S15" i="48"/>
  <c r="L11" i="48"/>
  <c r="N15" i="48"/>
  <c r="AK24" i="48"/>
  <c r="AC16" i="48"/>
  <c r="P15" i="48"/>
  <c r="P16" i="48"/>
  <c r="AE15" i="48"/>
  <c r="U21" i="48"/>
  <c r="Y16" i="48"/>
  <c r="X20" i="48"/>
  <c r="U14" i="48"/>
  <c r="S16" i="48"/>
  <c r="U23" i="48"/>
  <c r="AK12" i="48"/>
  <c r="O14" i="48"/>
  <c r="V28" i="48"/>
  <c r="M18" i="48"/>
  <c r="K14" i="48"/>
  <c r="AC27" i="48"/>
  <c r="O18" i="48"/>
  <c r="W26" i="48"/>
  <c r="AF27" i="48"/>
  <c r="AJ20" i="48"/>
  <c r="AH18" i="48"/>
  <c r="Z12" i="48"/>
  <c r="T22" i="48"/>
  <c r="J14" i="48"/>
  <c r="AH25" i="48"/>
  <c r="AI25" i="48"/>
  <c r="AC9" i="48"/>
  <c r="M12" i="48"/>
  <c r="N23" i="48"/>
  <c r="N9" i="48"/>
  <c r="U27" i="48"/>
  <c r="R12" i="48"/>
  <c r="AH26" i="48"/>
  <c r="X11" i="48"/>
  <c r="M14" i="48"/>
  <c r="V18" i="48"/>
  <c r="Q15" i="48"/>
  <c r="AA27" i="48"/>
  <c r="AD26" i="48"/>
  <c r="W27" i="48"/>
  <c r="AF17" i="48"/>
  <c r="L20" i="48"/>
  <c r="W12" i="48"/>
  <c r="Z24" i="48"/>
  <c r="J10" i="48"/>
  <c r="T23" i="48"/>
  <c r="T11" i="48"/>
  <c r="J20" i="48"/>
  <c r="K16" i="48"/>
  <c r="V15" i="48"/>
  <c r="AG28" i="48"/>
  <c r="AK16" i="48"/>
  <c r="AA19" i="48"/>
  <c r="P20" i="48"/>
  <c r="N21" i="48"/>
  <c r="Q20" i="48"/>
  <c r="O25" i="48"/>
  <c r="J15" i="48"/>
  <c r="I20" i="48"/>
  <c r="S13" i="48"/>
  <c r="X24" i="48"/>
  <c r="Z25" i="48"/>
  <c r="T20" i="48"/>
  <c r="Q16" i="48"/>
  <c r="AJ10" i="48"/>
  <c r="AA10" i="48"/>
  <c r="O23" i="48"/>
  <c r="O13" i="48"/>
  <c r="X27" i="48"/>
  <c r="S18" i="48"/>
  <c r="AG12" i="48"/>
  <c r="AE16" i="48"/>
  <c r="AB28" i="48"/>
  <c r="N12" i="48"/>
  <c r="T26" i="48"/>
  <c r="Q25" i="48"/>
  <c r="AL26" i="48"/>
  <c r="I12" i="48"/>
  <c r="L12" i="48"/>
  <c r="Y20" i="48"/>
  <c r="N19" i="48"/>
  <c r="L22" i="48"/>
  <c r="AE10" i="48"/>
  <c r="N25" i="48"/>
  <c r="AI18" i="48"/>
  <c r="J23" i="48"/>
  <c r="AA22" i="48"/>
  <c r="AH22" i="48"/>
  <c r="AA24" i="48"/>
  <c r="L21" i="48"/>
  <c r="AD20" i="48"/>
  <c r="V25" i="48"/>
  <c r="AE18" i="48"/>
  <c r="AD27" i="48"/>
  <c r="V14" i="48"/>
  <c r="T14" i="48"/>
  <c r="AC12" i="48"/>
  <c r="N28" i="48"/>
  <c r="AF9" i="48"/>
  <c r="AB18" i="48"/>
  <c r="O15" i="48"/>
  <c r="X12" i="48"/>
  <c r="AI28" i="48"/>
  <c r="V17" i="48"/>
  <c r="AE9" i="48"/>
  <c r="AG25" i="48"/>
  <c r="AA26" i="48"/>
  <c r="R25" i="48"/>
  <c r="AB23" i="48"/>
  <c r="AG16" i="48"/>
  <c r="P22" i="48"/>
  <c r="AK14" i="48"/>
  <c r="S26" i="48"/>
  <c r="W23" i="48"/>
  <c r="J19" i="48"/>
  <c r="U15" i="48"/>
  <c r="W15" i="48"/>
  <c r="R22" i="48"/>
  <c r="AJ23" i="48"/>
  <c r="U9" i="48"/>
  <c r="L26" i="48"/>
  <c r="P12" i="48"/>
  <c r="V12" i="48"/>
  <c r="L24" i="48"/>
  <c r="O20" i="48"/>
  <c r="Y28" i="48"/>
  <c r="AJ12" i="48"/>
  <c r="I22" i="48"/>
  <c r="M19" i="48"/>
  <c r="R17" i="48"/>
  <c r="J13" i="48"/>
  <c r="AF19" i="48"/>
  <c r="AD22" i="48"/>
  <c r="AI26" i="48"/>
  <c r="S20" i="48"/>
  <c r="AL11" i="48"/>
  <c r="AH24" i="48"/>
  <c r="AL13" i="48"/>
  <c r="AK27" i="48"/>
  <c r="I13" i="48"/>
  <c r="AJ22" i="48"/>
  <c r="O9" i="48"/>
  <c r="AK11" i="48"/>
  <c r="AH9" i="48"/>
  <c r="K13" i="48"/>
  <c r="AA28" i="48"/>
  <c r="N11" i="48"/>
  <c r="U16" i="48"/>
  <c r="U12" i="48"/>
  <c r="N16" i="48"/>
  <c r="R18" i="48"/>
  <c r="M16" i="48"/>
  <c r="AE19" i="48"/>
  <c r="AB21" i="48"/>
  <c r="O16" i="48"/>
  <c r="AI15" i="48"/>
  <c r="S25" i="48"/>
  <c r="AI17" i="48"/>
  <c r="W19" i="48"/>
  <c r="S11" i="48"/>
  <c r="O10" i="48"/>
  <c r="I9" i="48"/>
  <c r="T27" i="48"/>
  <c r="AD14" i="48"/>
  <c r="Q12" i="48"/>
  <c r="AB20" i="48"/>
  <c r="Q9" i="48"/>
  <c r="I18" i="48"/>
  <c r="Q28" i="48"/>
  <c r="L13" i="48"/>
  <c r="Q22" i="48"/>
  <c r="Y21" i="48"/>
  <c r="AK13" i="48"/>
  <c r="AJ24" i="48"/>
  <c r="AA12" i="48"/>
  <c r="AC25" i="48"/>
  <c r="T25" i="48"/>
  <c r="K15" i="48"/>
  <c r="AE11" i="48"/>
  <c r="Z16" i="48"/>
  <c r="AL19" i="48"/>
  <c r="T28" i="48"/>
  <c r="AB12" i="48"/>
  <c r="X18" i="48"/>
  <c r="AG17" i="48"/>
  <c r="Z10" i="48"/>
  <c r="AF22" i="48"/>
  <c r="N10" i="48"/>
  <c r="V19" i="48"/>
  <c r="AH21" i="48"/>
  <c r="Q23" i="48"/>
  <c r="Y25" i="48"/>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BU1" i="46"/>
  <c r="V1" i="46"/>
  <c r="AW1" i="46"/>
  <c r="AB1" i="46"/>
  <c r="AE1" i="46"/>
  <c r="BL1" i="46"/>
  <c r="BF1" i="46"/>
  <c r="CM1" i="46"/>
  <c r="AQ1" i="46"/>
  <c r="CG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<sst xmlns="http://schemas.openxmlformats.org/spreadsheetml/2006/main" count="9160" uniqueCount="2107">
  <si>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</si>
  <si>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</si>
  <si>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</si>
  <si>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</si>
  <si>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</si>
  <si>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</si>
  <si>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</si>
  <si>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</si>
  <si>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</si>
  <si>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</si>
  <si>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</si>
  <si>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</si>
  <si>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</si>
  <si>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</si>
  <si>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</si>
  <si>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</si>
  <si>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</si>
  <si>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</si>
  <si>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</si>
  <si>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</si>
  <si>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</si>
  <si>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</si>
  <si>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</si>
  <si>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</si>
  <si>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</si>
  <si>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</si>
  <si>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</si>
  <si>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</si>
  <si>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</si>
  <si>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</si>
  <si>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</si>
  <si>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</si>
  <si>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</si>
  <si>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</si>
  <si>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</si>
  <si>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</si>
  <si>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</si>
  <si>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</si>
  <si>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</si>
  <si>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</si>
  <si>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</si>
  <si>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</si>
  <si>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</si>
  <si>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</si>
  <si>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</si>
  <si>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</si>
  <si>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</si>
  <si>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</si>
  <si>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</si>
  <si>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</si>
  <si>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</si>
  <si>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</si>
  <si>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</si>
  <si>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</si>
  <si>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</si>
  <si>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</si>
  <si>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</si>
  <si>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</si>
  <si>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</si>
  <si>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</si>
  <si>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</si>
  <si>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</si>
  <si>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</si>
  <si>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</si>
  <si>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</si>
  <si>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</si>
  <si>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</si>
  <si>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</si>
  <si>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</si>
  <si>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</si>
  <si>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</si>
  <si>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</si>
  <si>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</si>
  <si>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</si>
  <si>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</si>
  <si>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</si>
  <si>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</si>
  <si>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</si>
  <si>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</si>
  <si>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</si>
  <si>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</si>
  <si>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</si>
  <si>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</si>
  <si>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</si>
  <si>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</si>
  <si>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</si>
  <si>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</si>
  <si>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</si>
  <si>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</si>
  <si>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</si>
  <si>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</si>
  <si>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</si>
  <si>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</si>
  <si>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</si>
  <si>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</si>
  <si>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</si>
  <si>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</si>
  <si>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</si>
  <si>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</si>
  <si>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</si>
  <si>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</si>
  <si>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</si>
  <si>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</si>
  <si>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</si>
  <si>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</si>
  <si>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</si>
  <si>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</si>
  <si>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</si>
  <si>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</si>
  <si>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</si>
  <si>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</si>
  <si>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</si>
  <si>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</si>
  <si>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</si>
  <si>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</si>
  <si>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</si>
  <si>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</si>
  <si>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</si>
  <si>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</si>
  <si>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</si>
  <si>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</si>
  <si>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</si>
  <si>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</si>
  <si>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</si>
  <si>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</si>
  <si>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</si>
  <si>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</si>
  <si>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</si>
  <si>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</si>
  <si>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</si>
  <si>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</si>
  <si>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</si>
  <si>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</si>
  <si>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</si>
  <si>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</si>
  <si>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</si>
  <si>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</si>
  <si>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</si>
  <si>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</si>
  <si>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</si>
  <si>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</si>
  <si>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</si>
  <si>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</si>
  <si>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</si>
  <si>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</si>
  <si>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</si>
  <si>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</si>
  <si>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</si>
  <si>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</si>
  <si>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</si>
  <si>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</si>
  <si>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</si>
  <si>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</si>
  <si>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</si>
  <si>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</si>
  <si>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</si>
  <si>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</si>
  <si>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</si>
  <si>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</si>
  <si>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</si>
  <si>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</si>
  <si>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</si>
  <si>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</si>
  <si>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</si>
  <si>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</si>
  <si>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</si>
  <si>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</si>
  <si>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</si>
  <si>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</si>
  <si>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</si>
  <si>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</si>
  <si>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</si>
  <si>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</si>
  <si>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</si>
  <si>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</si>
  <si>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</si>
  <si>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</si>
  <si>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</si>
  <si>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</si>
  <si>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</si>
  <si>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</si>
  <si>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</si>
  <si>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</si>
  <si>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</si>
  <si>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</si>
  <si>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</si>
  <si>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</si>
  <si>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</si>
  <si>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</si>
  <si>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</si>
  <si>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</si>
  <si>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</si>
  <si>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</si>
  <si>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</si>
  <si>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</si>
  <si>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</si>
  <si>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</si>
  <si>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</si>
  <si>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</si>
  <si>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</si>
  <si>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</si>
  <si>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</si>
  <si>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</si>
  <si>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</si>
  <si>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</si>
  <si>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</si>
  <si>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</si>
  <si>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</si>
  <si>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</si>
  <si>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</si>
  <si>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</si>
  <si>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</si>
  <si>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</si>
  <si>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</si>
  <si>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</si>
  <si>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</si>
  <si>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</si>
  <si>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</si>
  <si>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</si>
  <si>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</si>
  <si>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</si>
  <si>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</si>
  <si>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</si>
  <si>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</si>
  <si>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</si>
  <si>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</si>
  <si>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</si>
  <si>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</si>
  <si>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</si>
  <si>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</si>
  <si>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</si>
  <si>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</si>
  <si>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</si>
  <si>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</si>
  <si>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</si>
  <si>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</si>
  <si>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</si>
  <si>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</si>
  <si>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</si>
  <si>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</si>
  <si>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</si>
  <si>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</si>
  <si>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</si>
  <si>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</si>
  <si>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</si>
  <si>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</si>
  <si>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</si>
  <si>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</si>
  <si>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</si>
  <si>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</si>
  <si>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</si>
  <si>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</si>
  <si>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</si>
  <si>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</si>
  <si>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</si>
  <si>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</si>
  <si>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</si>
  <si>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</si>
  <si>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</si>
  <si>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</si>
  <si>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</si>
  <si>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</si>
  <si>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</si>
  <si>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</si>
  <si>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</si>
  <si>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</si>
  <si>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</si>
  <si>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</si>
  <si>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</si>
  <si>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</si>
  <si>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</si>
  <si>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</si>
  <si>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</si>
  <si>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</si>
  <si>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</si>
  <si>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</si>
  <si>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</si>
  <si>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</si>
  <si>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</si>
  <si>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</si>
  <si>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</si>
  <si>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</si>
  <si>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</si>
  <si>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</si>
  <si>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</si>
  <si>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</si>
  <si>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</si>
  <si>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</si>
  <si>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</si>
  <si>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</si>
  <si>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</si>
  <si>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</si>
  <si>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</si>
  <si>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</si>
  <si>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</si>
  <si>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</si>
  <si>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</si>
  <si>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</si>
  <si>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</si>
  <si>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</si>
  <si>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</si>
  <si>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</si>
  <si>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</si>
  <si>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</si>
  <si>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</si>
  <si>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</si>
  <si>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</si>
  <si>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</si>
  <si>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</si>
  <si>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</si>
  <si>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</si>
  <si>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</si>
  <si>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</si>
  <si>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</si>
  <si>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</si>
  <si>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</si>
  <si>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</si>
  <si>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</si>
  <si>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</si>
  <si>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</si>
  <si>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</si>
  <si>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</si>
  <si>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</si>
  <si>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</si>
  <si>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</si>
  <si>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</si>
  <si>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</si>
  <si>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</si>
  <si>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</si>
  <si>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</si>
  <si>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</si>
  <si>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</si>
  <si>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</si>
  <si>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</si>
  <si>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</si>
  <si>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</si>
  <si>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</si>
  <si>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</si>
  <si>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</si>
  <si>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</si>
  <si>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</si>
  <si>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</si>
  <si>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</si>
  <si>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</si>
  <si>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</si>
  <si>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</si>
  <si>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</si>
  <si>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</si>
  <si>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</si>
  <si>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</si>
  <si>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</si>
  <si>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</si>
  <si>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</si>
  <si>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</si>
  <si>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</si>
  <si>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</si>
  <si>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</si>
  <si>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</si>
  <si>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</si>
  <si>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</si>
  <si>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</si>
  <si>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</si>
  <si>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</si>
  <si>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</si>
  <si>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</si>
  <si>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</si>
  <si>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</si>
  <si>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</si>
  <si>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</si>
  <si>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</si>
  <si>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</si>
  <si>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</si>
  <si>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</si>
  <si>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</si>
  <si>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</si>
  <si>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</si>
  <si>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</si>
  <si>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</si>
  <si>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</si>
  <si>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</si>
  <si>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</si>
  <si>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</si>
  <si>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</si>
  <si>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</si>
  <si>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</si>
  <si>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</si>
  <si>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</si>
  <si>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</si>
  <si>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</si>
  <si>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</si>
  <si>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</si>
  <si>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</si>
  <si>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</si>
  <si>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</si>
  <si>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</si>
  <si>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</si>
  <si>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</si>
  <si>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</si>
  <si>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</si>
  <si>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</si>
  <si>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</si>
  <si>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</si>
  <si>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</si>
  <si>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</si>
  <si>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</si>
  <si>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</si>
  <si>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</si>
  <si>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</si>
  <si>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</si>
  <si>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</si>
  <si>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</si>
  <si>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</si>
  <si>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</si>
  <si>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</si>
  <si>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</si>
  <si>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</si>
  <si>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</si>
  <si>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</si>
  <si>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</si>
  <si>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</si>
  <si>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</si>
  <si>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</si>
  <si>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</si>
  <si>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</si>
  <si>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</si>
  <si>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</si>
  <si>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</si>
  <si>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</si>
  <si>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</si>
  <si>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</si>
  <si>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</si>
  <si>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</si>
  <si>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</si>
  <si>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</si>
  <si>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</si>
  <si>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</si>
  <si>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</si>
  <si>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</si>
  <si>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</si>
  <si>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</si>
  <si>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</si>
  <si>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</si>
  <si>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</si>
  <si>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</si>
  <si>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</si>
  <si>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</si>
  <si>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</si>
  <si>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</si>
  <si>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</si>
  <si>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</si>
  <si>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</si>
  <si>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</si>
  <si>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</si>
  <si>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</si>
  <si>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</si>
  <si>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</si>
  <si>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</si>
  <si>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</si>
  <si>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</si>
  <si>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</si>
  <si>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</si>
  <si>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</si>
  <si>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</si>
  <si>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</si>
  <si>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</si>
  <si>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</si>
  <si>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</si>
  <si>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</si>
  <si>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</si>
  <si>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</si>
  <si>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</si>
  <si>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</si>
  <si>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</si>
  <si>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</si>
  <si>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</si>
  <si>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</si>
  <si>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</si>
  <si>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</si>
  <si>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</si>
  <si>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</si>
  <si>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</si>
  <si>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</si>
  <si>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</si>
  <si>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</si>
  <si>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</si>
  <si>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</si>
  <si>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</si>
  <si>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</si>
  <si>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</si>
  <si>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</si>
  <si>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</si>
  <si>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</si>
  <si>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</si>
  <si>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</si>
  <si>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</si>
  <si>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</si>
  <si>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</si>
  <si>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</si>
  <si>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</si>
  <si>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</si>
  <si>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</si>
  <si>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</si>
  <si>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</si>
  <si>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</si>
  <si>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</si>
  <si>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</si>
  <si>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</si>
  <si>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</si>
  <si>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</si>
  <si>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</si>
  <si>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</si>
  <si>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</si>
  <si>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</si>
  <si>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</si>
  <si>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</si>
  <si>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</si>
  <si>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</si>
  <si>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</si>
  <si>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</si>
  <si>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</si>
  <si>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</si>
  <si>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</si>
  <si>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</si>
  <si>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</si>
  <si>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</si>
  <si>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</si>
  <si>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</si>
  <si>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</si>
  <si>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</si>
  <si>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</si>
  <si>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</si>
  <si>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</si>
  <si>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</si>
  <si>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</si>
  <si>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</si>
  <si>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</si>
  <si>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</si>
  <si>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</si>
  <si>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</si>
  <si>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</si>
  <si>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</si>
  <si>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</si>
  <si>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</si>
  <si>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</si>
  <si>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</si>
  <si>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</si>
  <si>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</si>
  <si>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</si>
  <si>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</si>
  <si>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</si>
  <si>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</si>
  <si>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</si>
  <si>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</si>
  <si>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</si>
  <si>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</si>
  <si>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</si>
  <si>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</si>
  <si>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</si>
  <si>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</si>
  <si>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</si>
  <si>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</si>
  <si>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</si>
  <si>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</si>
  <si>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</si>
  <si>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</si>
  <si>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</si>
  <si>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</si>
  <si>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</si>
  <si>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</si>
  <si>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</si>
  <si>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</si>
  <si>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</si>
  <si>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</si>
  <si>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</si>
  <si>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</si>
  <si>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</si>
  <si>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</si>
  <si>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</si>
  <si>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</si>
  <si>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</si>
  <si>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</si>
  <si>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</si>
  <si>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</si>
  <si>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</si>
  <si>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</si>
  <si>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</si>
  <si>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</si>
  <si>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</si>
  <si>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</si>
  <si>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</si>
  <si>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</si>
  <si>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</si>
  <si>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</si>
  <si>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</si>
  <si>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</si>
  <si>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</si>
  <si>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</si>
  <si>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</si>
  <si>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</si>
  <si>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</si>
  <si>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</si>
  <si>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</si>
  <si>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</si>
  <si>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</si>
  <si>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</si>
  <si>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</si>
  <si>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</si>
  <si>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</si>
  <si>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</si>
  <si>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</si>
  <si>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</si>
  <si>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</si>
  <si>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</si>
  <si>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</si>
  <si>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</si>
  <si>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</si>
  <si>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</si>
  <si>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</si>
  <si>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</si>
  <si>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</si>
  <si>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</si>
  <si>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</si>
  <si>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</si>
  <si>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</si>
  <si>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</si>
  <si>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</si>
  <si>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</si>
  <si>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</si>
  <si>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</si>
  <si>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</si>
  <si>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</si>
  <si>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</si>
  <si>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</si>
  <si>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</si>
  <si>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</si>
  <si>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</si>
  <si>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</si>
  <si>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</si>
  <si>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</si>
  <si>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</si>
  <si>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</si>
  <si>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</si>
  <si>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</si>
  <si>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</si>
  <si>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</si>
  <si>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</si>
  <si>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</si>
  <si>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</si>
  <si>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</si>
  <si>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</si>
  <si>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</si>
  <si>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</si>
  <si>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</si>
  <si>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</si>
  <si>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</si>
  <si>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</si>
  <si>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</si>
  <si>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</si>
  <si>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</si>
  <si>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</si>
  <si>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</si>
  <si>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</si>
  <si>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</si>
  <si>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</si>
  <si>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</si>
  <si>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</si>
  <si>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</si>
  <si>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</si>
  <si>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</si>
  <si>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</si>
  <si>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</si>
  <si>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</si>
  <si>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</si>
  <si>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</si>
  <si>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</si>
  <si>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</si>
  <si>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</si>
  <si>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</si>
  <si>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</si>
  <si>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</si>
  <si>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</si>
  <si>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</si>
  <si>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</si>
  <si>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</si>
  <si>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</si>
  <si>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</si>
  <si>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</si>
  <si>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</si>
  <si>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</si>
  <si>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</si>
  <si>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</si>
  <si>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</si>
  <si>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</si>
  <si>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</si>
  <si>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</si>
  <si>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</si>
  <si>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</si>
  <si>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</si>
  <si>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</si>
  <si>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</si>
  <si>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</si>
  <si>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</si>
  <si>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</si>
  <si>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</si>
  <si>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</si>
  <si>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</si>
  <si>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</si>
  <si>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</si>
  <si>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</si>
  <si>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</si>
  <si>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</si>
  <si>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</si>
  <si>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</si>
  <si>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</si>
  <si>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</si>
  <si>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</si>
  <si>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</si>
  <si>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</si>
  <si>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</si>
  <si>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</si>
  <si>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</si>
  <si>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</si>
  <si>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</si>
  <si>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</si>
  <si>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</si>
  <si>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</si>
  <si>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</si>
  <si>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</si>
  <si>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</si>
  <si>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</si>
  <si>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</si>
  <si>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</si>
  <si>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</si>
  <si>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</si>
  <si>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</si>
  <si>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</si>
  <si>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</si>
  <si>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</si>
  <si>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</si>
  <si>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</si>
  <si>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</si>
  <si>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</si>
  <si>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</si>
  <si>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</si>
  <si>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</si>
  <si>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</si>
  <si>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</si>
  <si>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</si>
  <si>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</si>
  <si>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</si>
  <si>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</si>
  <si>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</si>
  <si>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</si>
  <si>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</si>
  <si>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</si>
  <si>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</si>
  <si>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</si>
  <si>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</si>
  <si>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</si>
  <si>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</si>
  <si>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</si>
  <si>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</si>
  <si>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</si>
  <si>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</si>
  <si>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</si>
  <si>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</si>
  <si>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</si>
  <si>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</si>
  <si>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</si>
  <si>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</si>
  <si>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</si>
  <si>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</si>
  <si>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</si>
  <si>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</si>
  <si>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</si>
  <si>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</si>
  <si>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</si>
  <si>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</si>
  <si>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</si>
  <si>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</si>
  <si>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</si>
  <si>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</si>
  <si>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</si>
  <si>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</si>
  <si>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</si>
  <si>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</si>
  <si>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</si>
  <si>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</si>
  <si>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</si>
  <si>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</si>
  <si>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</si>
  <si>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</si>
  <si>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</si>
  <si>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</si>
  <si>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</si>
  <si>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</si>
  <si>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</si>
  <si>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</si>
  <si>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</si>
  <si>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</si>
  <si>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</si>
  <si>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</si>
  <si>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</si>
  <si>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</si>
  <si>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</si>
  <si>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</si>
  <si>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</si>
  <si>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</si>
  <si>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</si>
  <si>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</si>
  <si>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</si>
  <si>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</si>
  <si>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</si>
  <si>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</si>
  <si>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</si>
  <si>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</si>
  <si>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</si>
  <si>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</si>
  <si>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</si>
  <si>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</si>
  <si>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</si>
  <si>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</si>
  <si>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</si>
  <si>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</si>
  <si>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</si>
  <si>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</si>
  <si>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</si>
  <si>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</si>
  <si>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</si>
  <si>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</si>
  <si>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</si>
  <si>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</si>
  <si>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</si>
  <si>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</si>
  <si>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</si>
  <si>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</si>
  <si>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</si>
  <si>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</si>
  <si>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</si>
  <si>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</si>
  <si>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</si>
  <si>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</si>
  <si>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</si>
  <si>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</si>
  <si>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</si>
  <si>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</si>
  <si>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</si>
  <si>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</si>
  <si>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</si>
  <si>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</si>
  <si>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</si>
  <si>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</si>
  <si>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</si>
  <si>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</si>
  <si>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</si>
  <si>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</si>
  <si>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</si>
  <si>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</si>
  <si>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</si>
  <si>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</si>
  <si>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</si>
  <si>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</si>
  <si>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</si>
  <si>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</si>
  <si>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</si>
  <si>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</si>
  <si>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</si>
  <si>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</si>
  <si>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</si>
  <si>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</si>
  <si>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</si>
  <si>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</si>
  <si>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</si>
  <si>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</si>
  <si>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</si>
  <si>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</si>
  <si>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</si>
  <si>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</si>
  <si>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</si>
  <si>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</si>
  <si>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</si>
  <si>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</si>
  <si>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</si>
  <si>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</si>
  <si>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</si>
  <si>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</si>
  <si>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</si>
  <si>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</si>
  <si>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</si>
  <si>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</si>
  <si>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</si>
  <si>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</si>
  <si>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</si>
  <si>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</si>
  <si>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</si>
  <si>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</si>
  <si>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</si>
  <si>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</si>
  <si>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</si>
  <si>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</si>
  <si>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</si>
  <si>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</si>
  <si>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</si>
  <si>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</si>
  <si>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</si>
  <si>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</si>
  <si>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</si>
  <si>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</si>
  <si>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</si>
  <si>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</si>
  <si>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</si>
  <si>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</si>
  <si>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</si>
  <si>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</si>
  <si>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</si>
  <si>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</si>
  <si>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</si>
  <si>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</si>
  <si>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</si>
  <si>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</si>
  <si>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</si>
  <si>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</si>
  <si>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</si>
  <si>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</si>
  <si>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</si>
  <si>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</si>
  <si>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</si>
  <si>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</si>
  <si>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</si>
  <si>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</si>
  <si>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</si>
  <si>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</si>
  <si>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</si>
  <si>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</si>
  <si>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</si>
  <si>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</si>
  <si>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</si>
  <si>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</si>
  <si>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</si>
  <si>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</si>
  <si>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</si>
  <si>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</si>
  <si>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</si>
  <si>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</si>
  <si>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</si>
  <si>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</si>
  <si>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</si>
  <si>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</si>
  <si>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</si>
  <si>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</si>
  <si>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</si>
  <si>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</si>
  <si>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</si>
  <si>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</si>
  <si>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</si>
  <si>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</si>
  <si>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</si>
  <si>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</si>
  <si>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</si>
  <si>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</si>
  <si>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</si>
  <si>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</si>
  <si>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</si>
  <si>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</si>
  <si>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</si>
  <si>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</si>
  <si>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</si>
  <si>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</si>
  <si>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</si>
  <si>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</si>
  <si>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</si>
  <si>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</si>
  <si>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</si>
  <si>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</si>
  <si>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</si>
  <si>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</si>
  <si>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</si>
  <si>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</si>
  <si>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</si>
  <si>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</si>
  <si>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</si>
  <si>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</si>
  <si>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</si>
  <si>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</si>
  <si>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</si>
  <si>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</si>
  <si>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</si>
  <si>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</si>
  <si>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</si>
  <si>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</si>
  <si>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</si>
  <si>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</si>
  <si>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</si>
  <si>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</si>
  <si>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</si>
  <si>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</si>
  <si>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</si>
  <si>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</si>
  <si>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</si>
  <si>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</si>
  <si>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</si>
  <si>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</si>
  <si>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</si>
  <si>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</si>
  <si>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</si>
  <si>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</si>
  <si>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</si>
  <si>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</si>
  <si>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</si>
  <si>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</si>
  <si>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</si>
  <si>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</si>
  <si>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</si>
  <si>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</si>
  <si>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</si>
  <si>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</si>
  <si>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</si>
  <si>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</si>
  <si>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</si>
  <si>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</si>
  <si>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</si>
  <si>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</si>
  <si>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</si>
  <si>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</si>
  <si>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</si>
  <si>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</si>
  <si>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</si>
  <si>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</si>
  <si>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</si>
  <si>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</si>
  <si>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</si>
  <si>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</si>
  <si>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</si>
  <si>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</si>
  <si>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</si>
  <si>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</si>
  <si>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</si>
  <si>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</si>
  <si>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</si>
  <si>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</si>
  <si>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</si>
  <si>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</si>
  <si>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</si>
  <si>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</si>
  <si>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</si>
  <si>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</si>
  <si>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</si>
  <si>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</si>
  <si>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</si>
  <si>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</si>
  <si>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</si>
  <si>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</si>
  <si>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</si>
  <si>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</si>
  <si>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</si>
  <si>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</si>
  <si>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</si>
  <si>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</si>
  <si>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</si>
  <si>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</si>
  <si>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</si>
  <si>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</si>
  <si>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</si>
  <si>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</si>
  <si>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</si>
  <si>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</si>
  <si>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</si>
  <si>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</si>
  <si>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</si>
  <si>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</si>
  <si>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</si>
  <si>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</si>
  <si>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</si>
  <si>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</si>
  <si>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</si>
  <si>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</si>
  <si>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</si>
  <si>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</si>
  <si>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</si>
  <si>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</si>
  <si>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</si>
  <si>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</si>
  <si>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</si>
  <si>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</si>
  <si>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</si>
  <si>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</si>
  <si>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</si>
  <si>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</si>
  <si>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</si>
  <si>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</si>
  <si>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</si>
  <si>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</si>
  <si>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</si>
  <si>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</si>
  <si>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</si>
  <si>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</si>
  <si>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</si>
  <si>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</si>
  <si>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</si>
  <si>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</si>
  <si>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</si>
  <si>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</si>
  <si>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</si>
  <si>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</si>
  <si>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</si>
  <si>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</si>
  <si>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</si>
  <si>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</si>
  <si>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</si>
  <si>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</si>
  <si>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</si>
  <si>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</si>
  <si>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</si>
  <si>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</si>
  <si>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</si>
  <si>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</si>
  <si>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</si>
  <si>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</si>
  <si>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</si>
  <si>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</si>
  <si>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</si>
  <si>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</si>
  <si>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</si>
  <si>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</si>
  <si>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</si>
  <si>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</si>
  <si>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</si>
  <si>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</si>
  <si>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</si>
  <si>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</si>
  <si>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</si>
  <si>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</si>
  <si>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</si>
  <si>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</si>
  <si>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</si>
  <si>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</si>
  <si>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</si>
  <si>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</si>
  <si>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</si>
  <si>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</si>
  <si>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</si>
  <si>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</si>
  <si>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</si>
  <si>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</si>
  <si>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</si>
  <si>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</si>
  <si>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</si>
  <si>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</si>
  <si>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</si>
  <si>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</si>
  <si>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</si>
  <si>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</si>
  <si>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</si>
  <si>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</si>
  <si>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</si>
  <si>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</si>
  <si>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</si>
  <si>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</si>
  <si>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</si>
  <si>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</si>
  <si>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</si>
  <si>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</si>
  <si>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</si>
  <si>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</si>
  <si>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</si>
  <si>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</si>
  <si>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</si>
  <si>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</si>
  <si>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</si>
  <si>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</si>
  <si>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</si>
  <si>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</si>
  <si>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</si>
  <si>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</si>
  <si>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</si>
  <si>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</si>
  <si>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</si>
  <si>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</si>
  <si>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</si>
  <si>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</si>
  <si>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</si>
  <si>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</si>
  <si>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</si>
  <si>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</si>
  <si>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</si>
  <si>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</si>
  <si>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</si>
  <si>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</si>
  <si>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</si>
  <si>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</si>
  <si>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</si>
  <si>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</si>
  <si>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</si>
  <si>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</si>
  <si>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</si>
  <si>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</si>
  <si>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</si>
  <si>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</si>
  <si>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</si>
  <si>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</si>
  <si>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</si>
  <si>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</si>
  <si>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</si>
  <si>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</si>
  <si>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</si>
  <si>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</si>
  <si>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</si>
  <si>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</si>
  <si>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</si>
  <si>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</si>
  <si>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</si>
  <si>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</si>
  <si>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</si>
  <si>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</si>
  <si>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</si>
  <si>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</si>
  <si>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</si>
  <si>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</si>
  <si>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</si>
  <si>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</si>
  <si>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</si>
  <si>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</si>
  <si>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</si>
  <si>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</si>
  <si>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</si>
  <si>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</si>
  <si>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</si>
  <si>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</si>
  <si>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</si>
  <si>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</si>
  <si>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</si>
  <si>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</si>
  <si>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</si>
  <si>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</si>
  <si>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</si>
  <si>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</si>
  <si>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</si>
  <si>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</si>
  <si>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</si>
  <si>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</si>
  <si>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</si>
  <si>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</si>
  <si>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</si>
  <si>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</si>
  <si>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</si>
  <si>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</si>
  <si>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</si>
  <si>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</si>
  <si>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</si>
  <si>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</si>
  <si>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</si>
  <si>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</si>
  <si>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</si>
  <si>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</si>
  <si>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</si>
  <si>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</si>
  <si>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</si>
  <si>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</si>
  <si>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</si>
  <si>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</si>
  <si>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</si>
  <si>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</si>
  <si>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</si>
  <si>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</si>
  <si>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</si>
  <si>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</si>
  <si>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</si>
  <si>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</si>
  <si>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</si>
  <si>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</si>
  <si>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</si>
  <si>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</si>
  <si>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</si>
  <si>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</si>
  <si>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</si>
  <si>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</si>
  <si>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</si>
  <si>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</si>
  <si>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</si>
  <si>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</si>
  <si>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</si>
  <si>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</si>
  <si>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</si>
  <si>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</si>
  <si>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</si>
  <si>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</si>
  <si>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</si>
  <si>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</si>
  <si>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</si>
  <si>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</si>
  <si>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</si>
  <si>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</si>
  <si>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</si>
  <si>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</si>
  <si>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</si>
  <si>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</si>
  <si>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</si>
  <si>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</si>
  <si>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</si>
  <si>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</si>
  <si>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</si>
  <si>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</si>
  <si>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</si>
  <si>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</si>
  <si>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</si>
  <si>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</si>
  <si>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</si>
  <si>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</si>
  <si>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</si>
  <si>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</si>
  <si>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</si>
  <si>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</si>
  <si>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</si>
  <si>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</si>
  <si>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</si>
  <si>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</si>
  <si>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</si>
  <si>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</si>
  <si>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</si>
  <si>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</si>
  <si>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</si>
  <si>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</si>
  <si>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</si>
  <si>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</si>
  <si>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</si>
  <si>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</si>
  <si>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</si>
  <si>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</si>
  <si>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</si>
  <si>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</si>
  <si>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</si>
  <si>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</si>
  <si>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</si>
  <si>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</si>
  <si>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</si>
  <si>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</si>
  <si>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</si>
  <si>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</si>
  <si>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</si>
  <si>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</si>
  <si>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</si>
  <si>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</si>
  <si>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</si>
  <si>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</si>
  <si>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</si>
  <si>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</si>
  <si>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</si>
  <si>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</si>
  <si>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</si>
  <si>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</si>
  <si>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</si>
  <si>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</si>
  <si>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</si>
  <si>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</si>
  <si>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</si>
  <si>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</si>
  <si>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</si>
  <si>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</si>
  <si>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</si>
  <si>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</si>
  <si>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</si>
  <si>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</si>
  <si>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</si>
  <si>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</si>
  <si>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</si>
  <si>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</si>
  <si>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</si>
  <si>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</si>
  <si>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</si>
  <si>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</si>
  <si>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</si>
  <si>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</si>
  <si>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</si>
  <si>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</si>
  <si>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</si>
  <si>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</si>
  <si>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</si>
  <si>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</si>
  <si>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</si>
  <si>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</si>
  <si>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</si>
  <si>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</si>
  <si>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</si>
  <si>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</si>
  <si>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</si>
  <si>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</si>
  <si>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</si>
  <si>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</si>
  <si>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</si>
  <si>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</si>
  <si>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</si>
  <si>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</si>
  <si>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</si>
  <si>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</si>
  <si>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</si>
  <si>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</si>
  <si>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</si>
  <si>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</si>
  <si>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</si>
  <si>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</si>
  <si>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</si>
  <si>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</si>
  <si>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</si>
  <si>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</si>
  <si>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</si>
  <si>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</si>
  <si>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</si>
  <si>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</si>
  <si>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</si>
  <si>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</si>
  <si>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</si>
  <si>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</si>
  <si>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</si>
  <si>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</si>
  <si>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</si>
  <si>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</si>
  <si>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</si>
  <si>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</si>
  <si>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</si>
  <si>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</si>
  <si>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</si>
  <si>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</si>
  <si>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</si>
  <si>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</si>
  <si>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</si>
  <si>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</si>
  <si>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</si>
  <si>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</si>
  <si>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</si>
  <si>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</si>
  <si>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</si>
  <si>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</si>
  <si>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</si>
  <si>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</si>
  <si>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</si>
  <si>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</si>
  <si>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</si>
  <si>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</si>
  <si>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</si>
  <si>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</si>
  <si>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</si>
  <si>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</si>
  <si>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</si>
  <si>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</si>
  <si>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</si>
  <si>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</si>
  <si>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</si>
  <si>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</si>
  <si>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</si>
  <si>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</si>
  <si>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</si>
  <si>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</si>
  <si>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</si>
  <si>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</si>
  <si>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</si>
  <si>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</si>
  <si>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</si>
  <si>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</si>
  <si>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</si>
  <si>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</si>
  <si>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</si>
  <si>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</si>
  <si>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</si>
  <si>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</si>
  <si>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</si>
  <si>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</si>
  <si>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</si>
  <si>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</si>
  <si>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</si>
  <si>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</si>
  <si>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</si>
  <si>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</si>
  <si>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</si>
  <si>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</si>
  <si>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</si>
  <si>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</si>
  <si>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</si>
  <si>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</si>
  <si>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</si>
  <si>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</si>
  <si>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</si>
  <si>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</si>
  <si>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</si>
  <si>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</si>
  <si>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</si>
  <si>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</si>
  <si>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</si>
  <si>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</si>
  <si>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</si>
  <si>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</si>
  <si>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</si>
  <si>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</si>
  <si>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</si>
  <si>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</si>
  <si>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</si>
  <si>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</si>
  <si>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</si>
  <si>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</si>
  <si>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</si>
  <si>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</si>
  <si>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</si>
  <si>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</si>
  <si>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</si>
  <si>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</si>
  <si>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</si>
  <si>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</si>
  <si>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</si>
  <si>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</si>
  <si>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</si>
  <si>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</si>
  <si>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</si>
  <si>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</si>
  <si>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</si>
  <si>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</si>
  <si>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</si>
  <si>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</si>
  <si>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</si>
  <si>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</si>
  <si>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</si>
  <si>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</si>
  <si>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</si>
  <si>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</si>
  <si>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</si>
  <si>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</si>
  <si>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</si>
  <si>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</si>
  <si>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</si>
  <si>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</si>
  <si>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</si>
  <si>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</si>
  <si>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</si>
  <si>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</si>
  <si>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</si>
  <si>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</si>
  <si>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</si>
  <si>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</si>
  <si>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</si>
  <si>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</si>
  <si>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</si>
  <si>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</si>
  <si>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</si>
  <si>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</si>
  <si>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</si>
  <si>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</si>
  <si>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</si>
  <si>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</si>
  <si>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</si>
  <si>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</si>
  <si>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</si>
  <si>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</si>
  <si>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</si>
  <si>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</si>
  <si>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</si>
  <si>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</si>
  <si>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</si>
  <si>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</si>
  <si>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</si>
  <si>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</si>
  <si>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</si>
  <si>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</si>
  <si>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</si>
  <si>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</si>
  <si>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</si>
  <si>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</si>
  <si>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</si>
  <si>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</si>
  <si>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</si>
  <si>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</si>
  <si>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</si>
  <si>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</si>
  <si>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</si>
  <si>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</si>
  <si>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</si>
  <si>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</si>
  <si>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</si>
  <si>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</si>
  <si>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</si>
  <si>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</si>
  <si>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</si>
  <si>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</si>
  <si>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</si>
  <si>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</si>
  <si>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</si>
  <si>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</si>
  <si>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</si>
  <si>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</si>
  <si>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</si>
  <si>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</si>
  <si>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</si>
  <si>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</si>
  <si>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</si>
  <si>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</si>
  <si>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</si>
  <si>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</si>
  <si>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</si>
  <si>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</si>
  <si>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</si>
  <si>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</si>
  <si>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</si>
  <si>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</si>
  <si>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</si>
  <si>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</si>
  <si>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</si>
  <si>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</si>
  <si>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</si>
  <si>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</si>
  <si>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</si>
  <si>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</si>
  <si>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</si>
  <si>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</si>
  <si>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</si>
  <si>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</si>
  <si>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</si>
  <si>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</si>
  <si>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</si>
  <si>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</si>
  <si>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</si>
  <si>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</si>
  <si>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</si>
  <si>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</si>
  <si>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</si>
  <si>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</si>
  <si>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</si>
  <si>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</si>
  <si>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</si>
  <si>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</si>
  <si>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</si>
  <si>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</si>
  <si>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</si>
  <si>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</si>
  <si>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</si>
  <si>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</si>
  <si>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</si>
  <si>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</si>
  <si>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</si>
  <si>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</si>
  <si>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</si>
  <si>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</si>
  <si>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</si>
  <si>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</si>
  <si>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</si>
  <si>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</si>
  <si>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</si>
  <si>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</si>
  <si>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</si>
  <si>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</si>
  <si>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</si>
  <si>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</si>
  <si>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</si>
  <si>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</si>
  <si>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</si>
  <si>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</si>
  <si>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</si>
  <si>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</si>
  <si>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</si>
  <si>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</si>
  <si>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</si>
  <si>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</si>
  <si>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</si>
  <si>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</si>
  <si>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</si>
  <si>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</si>
  <si>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</si>
  <si>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</si>
  <si>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</si>
  <si>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</si>
  <si>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</si>
  <si>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</si>
  <si>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</si>
  <si>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</si>
  <si>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</si>
  <si>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</si>
  <si>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</si>
  <si>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</si>
  <si>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</si>
  <si>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</si>
  <si>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</si>
  <si>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</si>
  <si>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</si>
  <si>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</si>
  <si>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</si>
  <si>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</si>
  <si>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</si>
  <si>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</si>
  <si>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</si>
  <si>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</si>
  <si>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</si>
  <si>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</si>
  <si>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</si>
  <si>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</si>
  <si>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</si>
  <si>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</si>
  <si>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</si>
  <si>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</si>
  <si>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</si>
  <si>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</si>
  <si>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</si>
  <si>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</si>
  <si>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</si>
  <si>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</si>
  <si>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</si>
  <si>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</si>
  <si>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</si>
  <si>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</si>
  <si>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</si>
  <si>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</si>
  <si>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</si>
  <si>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</si>
  <si>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</si>
  <si>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</si>
  <si>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</si>
  <si>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</si>
  <si>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</si>
  <si>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</si>
  <si>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</si>
  <si>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</si>
  <si>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</si>
  <si>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</si>
  <si>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</si>
  <si>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</si>
  <si>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</si>
  <si>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</si>
  <si>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</si>
  <si>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</si>
  <si>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</si>
  <si>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</si>
  <si>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</si>
  <si>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</si>
  <si>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</si>
  <si>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</si>
  <si>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</si>
  <si>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</si>
  <si>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</si>
  <si>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</si>
  <si>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</si>
  <si>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</si>
  <si>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</si>
  <si>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</si>
  <si>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</si>
  <si>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</si>
  <si>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</si>
  <si>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</si>
  <si>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</si>
  <si>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</si>
  <si>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</si>
  <si>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</si>
  <si>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</si>
  <si>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</si>
  <si>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</si>
  <si>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</si>
  <si>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</si>
  <si>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</si>
  <si>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</si>
  <si>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</si>
  <si>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</si>
  <si>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</si>
  <si>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</si>
  <si>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</si>
  <si>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</si>
  <si>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</si>
  <si>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</si>
  <si>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</si>
  <si>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</si>
  <si>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</si>
  <si>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</si>
  <si>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</si>
  <si>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</si>
  <si>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</si>
  <si>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</si>
  <si>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</si>
  <si>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</si>
  <si>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</si>
  <si>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</si>
  <si>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</si>
  <si>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</si>
  <si>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</si>
  <si>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</si>
  <si>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</si>
  <si>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</si>
  <si>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</si>
  <si>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</si>
  <si>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</si>
  <si>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</si>
  <si>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</si>
  <si>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</si>
  <si>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</si>
  <si>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</si>
  <si>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</si>
  <si>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</si>
  <si>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</si>
  <si>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</si>
  <si>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</si>
  <si>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</si>
  <si>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</si>
  <si>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</si>
  <si>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</si>
  <si>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</si>
  <si>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</si>
  <si>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</si>
  <si>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</si>
  <si>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</si>
  <si>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</si>
  <si>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</si>
  <si>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</si>
  <si>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</si>
  <si>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</si>
  <si>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</si>
  <si>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</si>
  <si>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</si>
  <si>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</si>
  <si>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</si>
  <si>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</si>
  <si>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</si>
  <si>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</si>
  <si>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</si>
  <si>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</si>
  <si>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</si>
  <si>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</si>
  <si>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</si>
  <si>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</si>
  <si>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</si>
  <si>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</si>
  <si>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</si>
  <si>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</si>
  <si>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</si>
  <si>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</si>
  <si>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</si>
  <si>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</si>
  <si>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</si>
  <si>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</si>
  <si>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</si>
  <si>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</si>
  <si>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</si>
  <si>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</si>
  <si>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</si>
  <si>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</si>
  <si>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</si>
  <si>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</si>
  <si>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</si>
  <si>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</si>
  <si>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</si>
  <si>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</si>
  <si>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</si>
  <si>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</si>
  <si>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</si>
  <si>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</si>
  <si>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</si>
  <si>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</si>
  <si>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</si>
  <si>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</si>
  <si>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</si>
  <si>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</si>
  <si>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</si>
  <si>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</si>
  <si>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</si>
  <si>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</si>
  <si>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</si>
  <si>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</si>
  <si>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</si>
  <si>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</si>
  <si>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</si>
  <si>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</si>
  <si>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</si>
  <si>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</si>
  <si>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</si>
  <si>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</si>
  <si>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</si>
  <si>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</si>
  <si>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</si>
  <si>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</si>
  <si>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</si>
  <si>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</si>
  <si>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</si>
  <si>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</si>
  <si>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</si>
  <si>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</si>
  <si>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</si>
  <si>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</si>
  <si>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</si>
  <si>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</si>
  <si>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</si>
  <si>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</si>
  <si>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</si>
  <si>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</si>
  <si>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</si>
  <si>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</si>
  <si>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</si>
  <si>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</si>
  <si>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</si>
  <si>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</si>
  <si>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</si>
  <si>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</si>
  <si>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</si>
  <si>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</si>
  <si>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</si>
  <si>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</si>
  <si>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</si>
  <si>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</si>
  <si>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</si>
  <si>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</si>
  <si>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</si>
  <si>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</si>
  <si>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</si>
  <si>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</si>
  <si>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</si>
  <si>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</si>
  <si>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</si>
  <si>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</si>
  <si>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</si>
  <si>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</si>
  <si>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</si>
  <si>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</si>
  <si>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</si>
  <si>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</si>
  <si>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</si>
  <si>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</si>
  <si>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</si>
  <si>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</si>
  <si>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</si>
  <si>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</si>
  <si>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</si>
  <si>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</si>
  <si>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</si>
  <si>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</si>
  <si>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</si>
  <si>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</si>
  <si>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</si>
  <si>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</si>
  <si>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</si>
  <si>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</si>
  <si>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</si>
  <si>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</si>
  <si>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</si>
  <si>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</si>
  <si>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</si>
  <si>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</si>
  <si>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</si>
  <si>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</si>
  <si>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</si>
  <si>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</si>
  <si>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ADRIÁN</t>
  </si>
  <si>
    <t>JUAN</t>
  </si>
  <si>
    <t>CARLOS</t>
  </si>
  <si>
    <t>1|2-0</t>
  </si>
  <si>
    <t>1|2-1</t>
  </si>
  <si>
    <t>2|0-2</t>
  </si>
  <si>
    <t>2|1-2</t>
  </si>
  <si>
    <t>1|6-0</t>
  </si>
  <si>
    <t>X|0-0</t>
  </si>
  <si>
    <t>X|1-1</t>
  </si>
  <si>
    <t>1|3-1</t>
  </si>
  <si>
    <t>1|1-0</t>
  </si>
  <si>
    <t>1|4-0</t>
  </si>
  <si>
    <t>1|3-0</t>
  </si>
  <si>
    <t>1|5-0</t>
  </si>
  <si>
    <t>2|0-3</t>
  </si>
  <si>
    <t>2|0-1</t>
  </si>
  <si>
    <t>2|1-3</t>
  </si>
  <si>
    <t>2|2-3</t>
  </si>
  <si>
    <t>Mbappé</t>
  </si>
  <si>
    <t>Lamine Yamal</t>
  </si>
  <si>
    <t>Oyarzabal</t>
  </si>
  <si>
    <t>Pedri</t>
  </si>
  <si>
    <t>Kane</t>
  </si>
  <si>
    <t>2|0-4</t>
  </si>
  <si>
    <t>EL MATO</t>
  </si>
  <si>
    <t>IVÁN DELGADO</t>
  </si>
  <si>
    <t>X|3-3</t>
  </si>
  <si>
    <t>1|8-0</t>
  </si>
  <si>
    <t>1|4-1</t>
  </si>
  <si>
    <t>Julián Álvarez</t>
  </si>
  <si>
    <t>X|2-2</t>
  </si>
  <si>
    <t>1|3-2</t>
  </si>
  <si>
    <t>1|5-2</t>
  </si>
  <si>
    <t>1|6-1</t>
  </si>
  <si>
    <t>2|1-4</t>
  </si>
  <si>
    <t>Declan Rice</t>
  </si>
  <si>
    <t>SU FLORENTINEZA</t>
  </si>
  <si>
    <t>LUIS DPM</t>
  </si>
  <si>
    <t>Sudáfrica-Canadá·2|0-2</t>
  </si>
  <si>
    <t>Brasil-Japón·1|2-1</t>
  </si>
  <si>
    <t>Alemania-Paraguay·1|2-0</t>
  </si>
  <si>
    <t>Países Bajos-Marruecos·X|1-1</t>
  </si>
  <si>
    <t>Costa de Marfil-Noruega·2|1-2</t>
  </si>
  <si>
    <t>Francia-Suecia·1|2-0</t>
  </si>
  <si>
    <t>México-Ecuador·2|0-1</t>
  </si>
  <si>
    <t>Inglaterra-RD Congo·1|2-0</t>
  </si>
  <si>
    <t>Bélgica-Senegal·1|2-1</t>
  </si>
  <si>
    <t>Estados Unidos-Bosnia y Herzegovina·1|2-0</t>
  </si>
  <si>
    <t>España-Austria·1|1-0</t>
  </si>
  <si>
    <t>Portugal-Croacia·X|1-1</t>
  </si>
  <si>
    <t>Suiza-Argelia·1|2-1</t>
  </si>
  <si>
    <t>Australia-Egipto·2|0-1</t>
  </si>
  <si>
    <t>Argentina-Cabo Verde·1|2-0</t>
  </si>
  <si>
    <t>Colombia-Ghana·1|1-0</t>
  </si>
  <si>
    <t>Canadá-Países Bajos·2|0-1</t>
  </si>
  <si>
    <t>Alemania-Francia·2|0-1</t>
  </si>
  <si>
    <t>Brasil-Noruega·1|1-0</t>
  </si>
  <si>
    <t>Ecuador-Inglaterra·2|0-1</t>
  </si>
  <si>
    <t>Portugal-España·2|0-1</t>
  </si>
  <si>
    <t>Estados Unidos-Bélgica·1|1-0</t>
  </si>
  <si>
    <t>Argentina-Egipto·1|1-0</t>
  </si>
  <si>
    <t>Suiza-Colombia·2|0-1</t>
  </si>
  <si>
    <t>Francia-Países Bajos·1|1-0</t>
  </si>
  <si>
    <t>España-Estados Unidos·1|1-0</t>
  </si>
  <si>
    <t>Brasil-Inglaterra·2|0-1</t>
  </si>
  <si>
    <t>Argentina-Colombia·2|0-1</t>
  </si>
  <si>
    <t>Francia-España·1|1-0</t>
  </si>
  <si>
    <t>Inglaterra-Colombia·1|1-0</t>
  </si>
  <si>
    <t>España-Colombia·1|1-0</t>
  </si>
  <si>
    <t>Francia-Inglaterra·1|1-0</t>
  </si>
  <si>
    <t>Alemania-Paraguay·1|3-0</t>
  </si>
  <si>
    <t>Países Bajos-Marruecos·2|0-1</t>
  </si>
  <si>
    <t>Francia-Suecia·1|3-1</t>
  </si>
  <si>
    <t>México-Ecuador·1|1-0</t>
  </si>
  <si>
    <t>Bélgica-Senegal·1|2-0</t>
  </si>
  <si>
    <t>Estados Unidos-Bosnia y Herzegovina·1|1-0</t>
  </si>
  <si>
    <t>España-Austria·1|2-1</t>
  </si>
  <si>
    <t>Portugal-Croacia·1|2-1</t>
  </si>
  <si>
    <t>Suiza-Argelia·1|1-0</t>
  </si>
  <si>
    <t>Australia-Egipto·X|0-0</t>
  </si>
  <si>
    <t>Argentina-Cabo Verde·1|3-0</t>
  </si>
  <si>
    <t>Colombia-Ghana·1|2-1</t>
  </si>
  <si>
    <t>Canadá-Marruecos·2|0-1</t>
  </si>
  <si>
    <t>México-Inglaterra·2|0-1</t>
  </si>
  <si>
    <t>Estados Unidos-Bélgica·2|0-1</t>
  </si>
  <si>
    <t>Argentina-Australia·1|1-0</t>
  </si>
  <si>
    <t>Suiza-Colombia·1|1-0</t>
  </si>
  <si>
    <t>Francia-Marruecos·1|1-0</t>
  </si>
  <si>
    <t>España-Bélgica·1|1-0</t>
  </si>
  <si>
    <t>Argentina-Suiza·1|1-0</t>
  </si>
  <si>
    <t>Francia-España·2|0-1</t>
  </si>
  <si>
    <t>Inglaterra-Argentina·2|0-1</t>
  </si>
  <si>
    <t>España-Argentina·1|25-0</t>
  </si>
  <si>
    <t>Sudáfrica-Canadá·2|1-2</t>
  </si>
  <si>
    <t>Brasil-Japón·1|3-0</t>
  </si>
  <si>
    <t>Alemania-Paraguay·1|4-0</t>
  </si>
  <si>
    <t>Francia-Suecia·1|3-0</t>
  </si>
  <si>
    <t>México-Ecuador·1|2-1</t>
  </si>
  <si>
    <t>Inglaterra-RD Congo·1|3-0</t>
  </si>
  <si>
    <t>Bélgica-Senegal·1|1-0</t>
  </si>
  <si>
    <t>España-Austria·1|3-1</t>
  </si>
  <si>
    <t>Portugal-Croacia·1|2-0</t>
  </si>
  <si>
    <t>Australia-Egipto·X|2-2</t>
  </si>
  <si>
    <t>Argentina-Cabo Verde·1|4-0</t>
  </si>
  <si>
    <t>Colombia-Ghana·1|2-0</t>
  </si>
  <si>
    <t>Brasil-Inglaterra·1|1-0</t>
  </si>
  <si>
    <t>Brasil-Argentina·2|0-1</t>
  </si>
  <si>
    <t>España-Brasil·1|1-0</t>
  </si>
  <si>
    <t>Francia-Argentina·1|1-0</t>
  </si>
  <si>
    <t>Países Bajos-Marruecos·2|1-2</t>
  </si>
  <si>
    <t>Francia-Suecia·1|1-0</t>
  </si>
  <si>
    <t>Inglaterra-RD Congo·1|3-1</t>
  </si>
  <si>
    <t>Bélgica-Senegal·2|0-1</t>
  </si>
  <si>
    <t>España-Austria·1|3-0</t>
  </si>
  <si>
    <t>Portugal-Croacia·2|1-2</t>
  </si>
  <si>
    <t>Suiza-Argelia·1|3-1</t>
  </si>
  <si>
    <t>Australia-Egipto·2|1-2</t>
  </si>
  <si>
    <t>Brasil-Noruega·2|0-1</t>
  </si>
  <si>
    <t>Croacia-España·2|0-1</t>
  </si>
  <si>
    <t>Estados Unidos-Senegal·1|1-0</t>
  </si>
  <si>
    <t>Francia-Marruecos·2|0-1</t>
  </si>
  <si>
    <t>Noruega-Inglaterra·1|1-0</t>
  </si>
  <si>
    <t>Argentina-Colombia·1|1-0</t>
  </si>
  <si>
    <t>Marruecos-España·2|0-1</t>
  </si>
  <si>
    <t>Noruega-Argentina·2|0-1</t>
  </si>
  <si>
    <t>Marruecos-Noruega·1|1-0</t>
  </si>
  <si>
    <t>España-Argentina·2|0-1</t>
  </si>
  <si>
    <t>México-Ecuador·2|1-2</t>
  </si>
  <si>
    <t>Bélgica-Senegal·X|1-1</t>
  </si>
  <si>
    <t>España-Austria·X|0-0</t>
  </si>
  <si>
    <t>Sudáfrica-Canadá·2|1-3</t>
  </si>
  <si>
    <t>Países Bajos-Marruecos·1|2-1</t>
  </si>
  <si>
    <t>Costa de Marfil-Noruega·2|0-1</t>
  </si>
  <si>
    <t>Estados Unidos-Bosnia y Herzegovina·1|2-1</t>
  </si>
  <si>
    <t>Suiza-Argelia·1|2-0</t>
  </si>
  <si>
    <t>Canadá-Países Bajos·2|1-2</t>
  </si>
  <si>
    <t>Alemania-Francia·X|1-1</t>
  </si>
  <si>
    <t>Brasil-Noruega·2|1-2</t>
  </si>
  <si>
    <t>Ecuador-Inglaterra·2|1-2</t>
  </si>
  <si>
    <t>Portugal-España·2|1-3</t>
  </si>
  <si>
    <t>Estados Unidos-Senegal·X|1-1</t>
  </si>
  <si>
    <t>Argentina-Egipto·1|2-0</t>
  </si>
  <si>
    <t>Alemania-Países Bajos·X|1-1</t>
  </si>
  <si>
    <t>España-Senegal·1|2-1</t>
  </si>
  <si>
    <t>Noruega-Inglaterra·2|1-2</t>
  </si>
  <si>
    <t>Argentina-Suiza·1|2-1</t>
  </si>
  <si>
    <t>Alemania-España·2|1-3</t>
  </si>
  <si>
    <t>Inglaterra-Argentina·1|2-1</t>
  </si>
  <si>
    <t>Alemania-Argentina·1|2-1</t>
  </si>
  <si>
    <t>España-Inglaterra·1|2-1</t>
  </si>
  <si>
    <t>Brasil-Japón·1|2-0</t>
  </si>
  <si>
    <t>Costa de Marfil-Noruega·X|1-1</t>
  </si>
  <si>
    <t>México-Ecuador·X|1-1</t>
  </si>
  <si>
    <t>España-Austria·1|2-0</t>
  </si>
  <si>
    <t>Portugal-Croacia·X|2-2</t>
  </si>
  <si>
    <t>Canadá-Países Bajos·2|0-2</t>
  </si>
  <si>
    <t>Brasil-Noruega·X|2-2</t>
  </si>
  <si>
    <t>Portugal-España·2|1-2</t>
  </si>
  <si>
    <t>Estados Unidos-Senegal·2|0-1</t>
  </si>
  <si>
    <t>Suiza-Colombia·X|1-1</t>
  </si>
  <si>
    <t>Francia-Países Bajos·1|2-0</t>
  </si>
  <si>
    <t>España-Senegal·1|1-0</t>
  </si>
  <si>
    <t>Brasil-Inglaterra·X|1-1</t>
  </si>
  <si>
    <t>Argentina-Colombia·X|1-1</t>
  </si>
  <si>
    <t>Inglaterra-Argentina·X|1-1</t>
  </si>
  <si>
    <t>Francia-Argentina·1|3-1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</si>
</sst>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66">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7" fillId="0" borderId="193" xfId="0" applyFont="1" applyBorder="1" applyProtection="1">
      <protection locked="0"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82DEF7C5-C263-46C6-9DD5-9A71BB7C496F}"/>
    <cellStyle name="Normal 4" xfId="93" xr:uid="{6104D907-AD2C-5845-90F7-E59DF85A9F45}"/>
    <cellStyle name="Normal 4 2" xfId="95" xr:uid="{266E0619-40AF-444D-B7AB-2D81FB645B4D}"/>
    <cellStyle name="Normal 4 3" xfId="99" xr:uid="{D39D6CC6-576B-4D32-9325-4551B5CAD70F}"/>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abSelected="1"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21875" customWidth="1"/>
    <col min="17" max="17" width="6.218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798" t="str">
        <f>Idiomas!D8</f>
        <v>XXIII Mundial USA/MEX/CAN 2026</v>
      </c>
      <c r="C3" s="798"/>
      <c r="D3" s="798"/>
      <c r="E3" s="798"/>
      <c r="F3" s="798"/>
      <c r="G3" s="798"/>
      <c r="H3" s="798"/>
      <c r="I3" s="798"/>
      <c r="J3" s="798"/>
      <c r="K3" s="798"/>
      <c r="L3" s="798"/>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796"/>
      <c r="F16" s="797"/>
      <c r="G16" s="797"/>
      <c r="H16" s="797"/>
      <c r="I16" s="797"/>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795"/>
      <c r="F17" s="795"/>
      <c r="G17" s="795"/>
      <c r="H17" s="795"/>
      <c r="I17" s="795"/>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19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20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9"/>
      <c r="C24" s="800"/>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46202</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92" zoomScale="70" zoomScaleNormal="70" workbookViewId="0">
      <selection activeCell="AD102" sqref="AD102"/>
    </sheetView>
  </sheetViews>
  <sheetFormatPr baseColWidth="10" defaultColWidth="0" defaultRowHeight="14.4"/>
  <cols>
    <col min="1" max="2" width="10.77734375" style="5" hidden="1" customWidth="1"/>
    <col min="3" max="3" width="2.218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21875" style="5" hidden="1" customWidth="1"/>
    <col min="59" max="59" width="7.77734375" style="5" hidden="1" customWidth="1"/>
    <col min="60" max="61" width="2.218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21875" style="5" hidden="1" customWidth="1"/>
    <col min="70" max="71" width="7.33203125" style="5" hidden="1" customWidth="1"/>
    <col min="72" max="100" width="8" style="5" hidden="1" customWidth="1"/>
    <col min="101" max="101" width="4.21875" style="5" hidden="1" customWidth="1"/>
    <col min="102" max="102" width="7.33203125" style="5" hidden="1" customWidth="1"/>
    <col min="103" max="103" width="10.77734375" style="5" hidden="1" customWidth="1"/>
    <col min="104" max="104" width="3.218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5" t="str">
        <f>Idiomas!D8</f>
        <v>XXIII Mundial USA/MEX/CAN 2026</v>
      </c>
      <c r="X1" s="805"/>
      <c r="Y1" s="805"/>
      <c r="Z1" s="805"/>
      <c r="AA1" s="805"/>
      <c r="AB1" s="805"/>
      <c r="AC1" s="805"/>
      <c r="AD1" s="805"/>
      <c r="AE1" s="805"/>
      <c r="AF1" s="805"/>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10.050000000000001"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v>
      </c>
      <c r="F4" s="742" t="str">
        <f t="shared" ref="F4:F9" ca="1" si="2">IF(D4="Pendiente","-",INDEX($BT$6:$BT$53,MATCH($AF4,$BD$6:$BD$53,0)))</f>
        <v>-</v>
      </c>
      <c r="G4" s="742"/>
      <c r="H4" s="742" t="str">
        <f t="shared" ref="H4:H9" ca="1" si="3">IF(D4="Pendiente","-",INDEX($BZ$6:$BZ$53,MATCH($AA4,$BD$6:$BD$53,0)))</f>
        <v>-</v>
      </c>
      <c r="I4" s="742" t="str">
        <f t="shared" ref="I4:I9" ca="1" si="4">IF(D4="Pendiente","-",INDEX($BZ$6:$BZ$53,MATCH($AF4,$BD$6:$BD$53,0)))</f>
        <v>-</v>
      </c>
      <c r="J4" s="742"/>
      <c r="K4" s="742" t="str">
        <f t="shared" ref="K4:K9" ca="1" si="5">IF(D4="Pendiente","-",INDEX($CE$6:$CE$53,MATCH($AA4,$BD$6:$BD$53,0)))</f>
        <v>-</v>
      </c>
      <c r="L4" s="742" t="str">
        <f t="shared" ref="L4:L9" ca="1" si="6">IF(D4="Pendiente","-",INDEX($CE$6:$CE$53,MATCH($AF4,$BD$6:$BD$53,0)))</f>
        <v>-</v>
      </c>
      <c r="M4" s="742"/>
      <c r="N4" s="742" t="str">
        <f t="shared" ref="N4:N9" ca="1" si="7">IF(D4="Pendiente","-",INDEX($CH$6:$CH$53,MATCH($AA4,$BD$6:$BD$53,0)))</f>
        <v>-</v>
      </c>
      <c r="O4" s="742" t="str">
        <f t="shared" ref="O4:O9" ca="1" si="8">IF(D4="Pendiente","-",INDEX($CH$6:$CH$53,MATCH($AF4,$BD$6:$BD$53,0)))</f>
        <v>-</v>
      </c>
      <c r="P4" s="742"/>
      <c r="Q4" s="742" t="str">
        <f t="shared" ref="Q4:Q9" ca="1" si="9">IF(D4="Pendiente","-",INDEX($CN$6:$CN$53,MATCH($AA4,$BD$6:$BD$53,0)))</f>
        <v>-</v>
      </c>
      <c r="R4" s="742" t="str">
        <f t="shared" ref="R4:R9" ca="1" si="10">IF(D4="Pendiente","-",INDEX($CN$6:$CN$53,MATCH($AF4,$BD$6:$BD$53,0)))</f>
        <v>-</v>
      </c>
      <c r="S4" s="742"/>
      <c r="T4" s="742" t="str">
        <f t="shared" ref="T4:T9" ca="1" si="11">IF(D4="Pendiente","-",INDEX($CS$6:$CS$53,MATCH($AA4,$BD$6:$BD$53,0)))</f>
        <v>-</v>
      </c>
      <c r="U4" s="742" t="str">
        <f t="shared" ref="U4:U9" ca="1" si="12">IF(D4="Pendiente","-",INDEX($CS$6:$CS$53,MATCH($AF4,$BD$6:$BD$53,0)))</f>
        <v>-</v>
      </c>
      <c r="V4" s="172"/>
      <c r="W4" s="801"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6.95" customHeight="1">
      <c r="A5" s="743" t="str">
        <f ca="1">+Equipos!B2</f>
        <v>México</v>
      </c>
      <c r="B5" s="740"/>
      <c r="C5" s="740"/>
      <c r="D5" s="742" t="str">
        <f t="shared" si="0"/>
        <v>Local</v>
      </c>
      <c r="E5" s="742" t="str">
        <f t="shared" ca="1" si="1"/>
        <v>-</v>
      </c>
      <c r="F5" s="742" t="str">
        <f t="shared" ca="1" si="2"/>
        <v>-</v>
      </c>
      <c r="G5" s="742"/>
      <c r="H5" s="742" t="str">
        <f t="shared" ca="1" si="3"/>
        <v>-</v>
      </c>
      <c r="I5" s="742" t="str">
        <f t="shared" ca="1" si="4"/>
        <v>-</v>
      </c>
      <c r="J5" s="742"/>
      <c r="K5" s="742" t="str">
        <f t="shared" ca="1" si="5"/>
        <v>-</v>
      </c>
      <c r="L5" s="742" t="str">
        <f t="shared" ca="1" si="6"/>
        <v>-</v>
      </c>
      <c r="M5" s="742"/>
      <c r="N5" s="742" t="str">
        <f t="shared" ca="1" si="7"/>
        <v>-</v>
      </c>
      <c r="O5" s="742" t="str">
        <f t="shared" ca="1" si="8"/>
        <v>-</v>
      </c>
      <c r="P5" s="742"/>
      <c r="Q5" s="742" t="str">
        <f t="shared" ca="1" si="9"/>
        <v>-</v>
      </c>
      <c r="R5" s="742" t="str">
        <f t="shared" ca="1" si="10"/>
        <v>-</v>
      </c>
      <c r="S5" s="742"/>
      <c r="T5" s="742" t="str">
        <f t="shared" ca="1" si="11"/>
        <v>-</v>
      </c>
      <c r="U5" s="742" t="str">
        <f t="shared" ca="1" si="12"/>
        <v>-</v>
      </c>
      <c r="V5" s="172"/>
      <c r="W5" s="801"/>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6.95" customHeight="1">
      <c r="A6" s="743" t="str">
        <f ca="1">+Equipos!B3</f>
        <v>Sudáfrica</v>
      </c>
      <c r="B6" s="740"/>
      <c r="C6" s="744"/>
      <c r="D6" s="742" t="str">
        <f t="shared" si="0"/>
        <v>Empate</v>
      </c>
      <c r="E6" s="742" t="str">
        <f t="shared" ca="1" si="1"/>
        <v>-</v>
      </c>
      <c r="F6" s="742" t="str">
        <f t="shared" ca="1" si="2"/>
        <v>-</v>
      </c>
      <c r="G6" s="742"/>
      <c r="H6" s="742" t="str">
        <f t="shared" ca="1" si="3"/>
        <v>-</v>
      </c>
      <c r="I6" s="742" t="str">
        <f t="shared" ca="1" si="4"/>
        <v>-</v>
      </c>
      <c r="J6" s="742"/>
      <c r="K6" s="742" t="str">
        <f t="shared" ca="1" si="5"/>
        <v>-</v>
      </c>
      <c r="L6" s="742" t="str">
        <f t="shared" ca="1" si="6"/>
        <v>-</v>
      </c>
      <c r="M6" s="742"/>
      <c r="N6" s="742" t="str">
        <f t="shared" ca="1" si="7"/>
        <v>-</v>
      </c>
      <c r="O6" s="742" t="str">
        <f t="shared" ca="1" si="8"/>
        <v>-</v>
      </c>
      <c r="P6" s="742"/>
      <c r="Q6" s="742" t="str">
        <f t="shared" ca="1" si="9"/>
        <v>-</v>
      </c>
      <c r="R6" s="742" t="str">
        <f t="shared" ca="1" si="10"/>
        <v>-</v>
      </c>
      <c r="S6" s="742"/>
      <c r="T6" s="742" t="str">
        <f t="shared" ca="1" si="11"/>
        <v>-</v>
      </c>
      <c r="U6" s="742" t="str">
        <f t="shared" ca="1" si="12"/>
        <v>-</v>
      </c>
      <c r="V6" s="172"/>
      <c r="W6" s="801"/>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9</v>
      </c>
      <c r="BF6" s="746">
        <f ca="1">+BG6+BH6+BI6</f>
        <v>3</v>
      </c>
      <c r="BG6" s="746">
        <f t="shared" ref="BG6:BG53" ca="1" si="17">+COUNTIFS(FGLocal,BD6,Ganador,"Local")+COUNTIFS(FGVisitante,BD6,Ganador,"Visitante")</f>
        <v>3</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6</v>
      </c>
      <c r="BK6" s="746">
        <f t="shared" ref="BK6:BK53" ca="1" si="21">+SUMIFS(FG_GolesLocal,FGVisitante,BD6,Ganador,"&lt;&gt;"&amp;"Pendiente",FG_GolesLocal,"&lt;&gt;"&amp;"",FG_GolesVisitante,"&lt;&gt;"&amp;"")+SUMIFS(FG_GolesVisitante,FGLocal,BD6,Ganador,"&lt;&gt;"&amp;"Pendiente",FG_GolesLocal,"&lt;&gt;"&amp;"",FG_GolesVisitante,"&lt;&gt;"&amp;"")</f>
        <v>0</v>
      </c>
      <c r="BL6" s="746">
        <f ca="1">+BJ6-BK6</f>
        <v>6</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9</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v>
      </c>
      <c r="BU6" s="756" t="str">
        <f ca="1">IF($BT6="-","-",COUNTIFS(FGLocal,$BD6,Ganador,"Local",Part1Empate1V,$BT6)+COUNTIFS(FGVisitante,$BD6,Ganador,"Visitante",Part1Empate1L,$BT6))</f>
        <v>-</v>
      </c>
      <c r="BV6" s="756" t="str">
        <f ca="1">IF($BT6="-","-",COUNTIFS(FGLocal,$BD6,Ganador,"Empate",Part1Empate1V,$BT6)+COUNTIFS(FGVisitante,$BD6,Ganador,"Empate",Part1Empate1L,$BT6))</f>
        <v>-</v>
      </c>
      <c r="BW6" s="756" t="str">
        <f ca="1">IF($BT6="-","-",COUNTIFS(FGLocal,$BD6,Ganador,"Visitante",Part1Empate1V,$BT6)+COUNTIFS(FGVisitante,$BD6,Ganador,"Local",Part1Empate1L,$BT6))</f>
        <v>-</v>
      </c>
      <c r="BX6" s="756" t="str">
        <f ca="1">IF($BT6="-","-",BU6*3+BV6)</f>
        <v>-</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v>
      </c>
      <c r="CA6" s="756" t="str">
        <f ca="1">IF($BZ6="-","-",SUMIFS(FG_GolesLocal,FGLocal,$BD6,Part1Empate2V,$BZ6)+SUMIFS(FG_GolesVisitante,FGVisitante,$BD6,Part1Empate2L,$BZ6))</f>
        <v>-</v>
      </c>
      <c r="CB6" s="756" t="str">
        <f ca="1">IF($BZ6="-","-",SUMIFS(FG_GolesVisitante,FGLocal,$BD6,Part1Empate2V,$BZ6)+SUMIFS(FG_GolesLocal,FGVisitante,$BD6,Part1Empate2L,$BZ6))</f>
        <v>-</v>
      </c>
      <c r="CC6" s="756" t="str">
        <f ca="1">IF($BZ6="-","-",CA6-CB6)</f>
        <v>-</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v>
      </c>
      <c r="CF6" s="756" t="str">
        <f ca="1">IF($CE6="-","-",SUMIFS(FG_GolesLocal,FGLocal,$BD6,Part1Empate3V,$CE6)+SUMIFS(FG_GolesVisitante,FGVisitante,$BD6,Part1Empate3L,$CE6))</f>
        <v>-</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v>
      </c>
      <c r="CI6" s="756" t="str">
        <f ca="1">IF($CH6="-","-",COUNTIFS(FGLocal,$BD6,Ganador,"Local",Part2Empate4V,$CH6)+COUNTIFS(FGVisitante,$BD6,Ganador,"Visitante",Part2Empate4L,$CH6))</f>
        <v>-</v>
      </c>
      <c r="CJ6" s="756" t="str">
        <f ca="1">IF($CH6="-","-",COUNTIFS(FGLocal,$BD6,Ganador,"Empate",Part2Empate4V,$CH6)+COUNTIFS(FGVisitante,$BD6,Ganador,"Empate",Part2Empate4L,$CH6))</f>
        <v>-</v>
      </c>
      <c r="CK6" s="756" t="str">
        <f ca="1">IF($CH6="-","-",COUNTIFS(FGLocal,$BD6,Ganador,"Visitante",Part2Empate4V,$CH6)+COUNTIFS(FGVisitante,$BD6,Ganador,"Local",Part2Empate4L,$CH6))</f>
        <v>-</v>
      </c>
      <c r="CL6" s="756" t="str">
        <f ca="1">IF($CH6="-","-",CI6*3+CJ6)</f>
        <v>-</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v>
      </c>
      <c r="CO6" s="756" t="str">
        <f ca="1">IF($CN6="-","-",SUMIFS(FG_GolesLocal,FGLocal,$BD6,Part2Empate5V,$CN6)+SUMIFS(FG_GolesVisitante,FGVisitante,$BD6,Part2Empate5L,$CN6))</f>
        <v>-</v>
      </c>
      <c r="CP6" s="756" t="str">
        <f ca="1">IF($CN6="-","-",SUMIFS(FG_GolesVisitante,FGLocal,$BD6,Part2Empate5V,$CN6)+SUMIFS(FG_GolesLocal,FGVisitante,$BD6,Part2Empate5L,$CN6))</f>
        <v>-</v>
      </c>
      <c r="CQ6" s="756" t="str">
        <f ca="1">IF($CN6="-","-",CO6-CP6)</f>
        <v>-</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v>
      </c>
      <c r="CT6" s="756" t="str">
        <f ca="1">IF($CS6="-","-",SUMIFS(FG_GolesLocal,FGLocal,$BD6,Part2Empate6V,$CS6)+SUMIFS(FG_GolesVisitante,FGVisitante,$BD6,Part2Empate6L,$CS6))</f>
        <v>-</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v>
      </c>
      <c r="CW6" s="755" t="str">
        <f ca="1">IF(CV6="-","-",BL6)</f>
        <v>-</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12</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6.95" customHeight="1">
      <c r="A7" s="743" t="str">
        <f ca="1">+Equipos!B4</f>
        <v>Corea del Sur</v>
      </c>
      <c r="B7" s="740"/>
      <c r="C7" s="742"/>
      <c r="D7" s="742" t="str">
        <f t="shared" si="0"/>
        <v>Local</v>
      </c>
      <c r="E7" s="742" t="str">
        <f t="shared" ca="1" si="1"/>
        <v>-</v>
      </c>
      <c r="F7" s="742" t="str">
        <f t="shared" ca="1" si="2"/>
        <v>-</v>
      </c>
      <c r="G7" s="742"/>
      <c r="H7" s="742" t="str">
        <f t="shared" ca="1" si="3"/>
        <v>-</v>
      </c>
      <c r="I7" s="742" t="str">
        <f t="shared" ca="1" si="4"/>
        <v>-</v>
      </c>
      <c r="J7" s="742"/>
      <c r="K7" s="742" t="str">
        <f t="shared" ca="1" si="5"/>
        <v>-</v>
      </c>
      <c r="L7" s="742" t="str">
        <f t="shared" ca="1" si="6"/>
        <v>-</v>
      </c>
      <c r="M7" s="742"/>
      <c r="N7" s="742" t="str">
        <f t="shared" ca="1" si="7"/>
        <v>-</v>
      </c>
      <c r="O7" s="742" t="str">
        <f t="shared" ca="1" si="8"/>
        <v>-</v>
      </c>
      <c r="P7" s="742"/>
      <c r="Q7" s="742" t="str">
        <f t="shared" ca="1" si="9"/>
        <v>-</v>
      </c>
      <c r="R7" s="742" t="str">
        <f t="shared" ca="1" si="10"/>
        <v>-</v>
      </c>
      <c r="S7" s="742"/>
      <c r="T7" s="742" t="str">
        <f t="shared" ca="1" si="11"/>
        <v>-</v>
      </c>
      <c r="U7" s="742" t="str">
        <f t="shared" ca="1" si="12"/>
        <v>-</v>
      </c>
      <c r="V7" s="172"/>
      <c r="W7" s="801"/>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4</v>
      </c>
      <c r="BF7" s="746">
        <f t="shared" ref="BF7:BF53" ca="1" si="26">+BG7+BH7+BI7</f>
        <v>3</v>
      </c>
      <c r="BG7" s="746">
        <f t="shared" ca="1" si="17"/>
        <v>1</v>
      </c>
      <c r="BH7" s="746">
        <f t="shared" ca="1" si="18"/>
        <v>1</v>
      </c>
      <c r="BI7" s="746">
        <f t="shared" ca="1" si="19"/>
        <v>1</v>
      </c>
      <c r="BJ7" s="746">
        <f t="shared" ca="1" si="20"/>
        <v>2</v>
      </c>
      <c r="BK7" s="746">
        <f t="shared" ca="1" si="21"/>
        <v>3</v>
      </c>
      <c r="BL7" s="746">
        <f t="shared" ref="BL7:BL53" ca="1" si="27">+BJ7-BK7</f>
        <v>-1</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4</v>
      </c>
      <c r="BS7" s="755">
        <f ca="1">BP7+COUNTIFS($BQ$6:$BQ$53,BQ7,$BR$6:BR$53,"&gt;"&amp;BR7,$BC$6:$BC$53,INDEX(T_Equipos[Grupo],MATCH(BD7,T_Equipos[NombreEquipo],0)))</f>
        <v>2</v>
      </c>
      <c r="BT7" s="755" t="str">
        <f ca="1">IF(COUNTIFS($BS$6:$BS$53,BS7,$BC$6:$BC$53,INDEX(T_Equipos[Grupo],MATCH(BD7,T_Equipos[NombreEquipo],0)))=1,"-","P."&amp;BS7&amp;" ("&amp;COUNTIFS($BS$6:$BS$53,BS7,$BC$6:$BC$53,INDEX(T_Equipos[Grupo],MATCH(BD7,T_Equipos[NombreEquipo],0)))&amp;")")</f>
        <v>-</v>
      </c>
      <c r="BU7" s="756" t="str">
        <f ca="1">IF($BT7="-","-",COUNTIFS(FGLocal,$BD7,Ganador,"Local",Part1Empate1V,$BT7)+COUNTIFS(FGVisitante,$BD7,Ganador,"Visitante",Part1Empate1L,$BT7))</f>
        <v>-</v>
      </c>
      <c r="BV7" s="756" t="str">
        <f ca="1">IF($BT7="-","-",COUNTIFS(FGLocal,$BD7,Ganador,"Empate",Part1Empate1V,$BT7)+COUNTIFS(FGVisitante,$BD7,Ganador,"Empate",Part1Empate1L,$BT7))</f>
        <v>-</v>
      </c>
      <c r="BW7" s="756" t="str">
        <f ca="1">IF($BT7="-","-",COUNTIFS(FGLocal,$BD7,Ganador,"Visitante",Part1Empate1V,$BT7)+COUNTIFS(FGVisitante,$BD7,Ganador,"Local",Part1Empate1L,$BT7))</f>
        <v>-</v>
      </c>
      <c r="BX7" s="756" t="str">
        <f ca="1">IF($BT7="-","-",BU7*3+BV7)</f>
        <v>-</v>
      </c>
      <c r="BY7" s="756">
        <f ca="1">BS7+COUNTIFS($BT$6:$BT$53,BT7,$BX$6:BX$53,"&gt;"&amp;BX7,$BC$6:$BC$53,INDEX(T_Equipos[Grupo],MATCH(BD7,T_Equipos[NombreEquipo],0)))</f>
        <v>2</v>
      </c>
      <c r="BZ7" s="755" t="str">
        <f ca="1">IF(COUNTIFS($BY$6:$BY$53,BY7,$BC$6:$BC$53,INDEX(T_Equipos[Grupo],MATCH(BD7,T_Equipos[NombreEquipo],0)))=1,"-","P."&amp;BY7&amp;" ("&amp;COUNTIFS($BY$6:$BY$53,BY7,$BC$6:$BC$53,INDEX(T_Equipos[Grupo],MATCH(BD7,T_Equipos[NombreEquipo],0)))&amp;")")</f>
        <v>-</v>
      </c>
      <c r="CA7" s="756" t="str">
        <f ca="1">IF($BZ7="-","-",SUMIFS(FG_GolesLocal,FGLocal,$BD7,Part1Empate2V,$BZ7)+SUMIFS(FG_GolesVisitante,FGVisitante,$BD7,Part1Empate2L,$BZ7))</f>
        <v>-</v>
      </c>
      <c r="CB7" s="756" t="str">
        <f ca="1">IF($BZ7="-","-",SUMIFS(FG_GolesVisitante,FGLocal,$BD7,Part1Empate2V,$BZ7)+SUMIFS(FG_GolesLocal,FGVisitante,$BD7,Part1Empate2L,$BZ7))</f>
        <v>-</v>
      </c>
      <c r="CC7" s="756" t="str">
        <f ca="1">IF($BZ7="-","-",CA7-CB7)</f>
        <v>-</v>
      </c>
      <c r="CD7" s="756">
        <f ca="1">BY7+COUNTIFS($BZ$6:$BZ$53,BZ7,$CC$6:CC$53,"&gt;"&amp;CC7,$BC$6:$BC$53,INDEX(T_Equipos[Grupo],MATCH(BD7,T_Equipos[NombreEquipo],0)))</f>
        <v>2</v>
      </c>
      <c r="CE7" s="755" t="str">
        <f ca="1">IF(COUNTIFS($CD$6:$CD$53,CD7,$BC$6:$BC$53,INDEX(T_Equipos[Grupo],MATCH(BD7,T_Equipos[NombreEquipo],0)))=1,"-","P."&amp;CD7&amp;" ("&amp;COUNTIFS($CD$6:$CD$53,CD7,$BC$6:$BC$53,INDEX(T_Equipos[Grupo],MATCH(BD7,T_Equipos[NombreEquipo],0)))&amp;")")</f>
        <v>-</v>
      </c>
      <c r="CF7" s="756" t="str">
        <f ca="1">IF($CE7="-","-",SUMIFS(FG_GolesLocal,FGLocal,$BD7,Part1Empate3V,$CE7)+SUMIFS(FG_GolesVisitante,FGVisitante,$BD7,Part1Empate3L,$CE7))</f>
        <v>-</v>
      </c>
      <c r="CG7" s="756">
        <f ca="1">CD7+COUNTIFS($CE$6:$CE$53,CE7,$CF$6:CF$53,"&gt;"&amp;CF7,$BC$6:$BC$53,INDEX(T_Equipos[Grupo],MATCH(BD7,T_Equipos[NombreEquipo],0)))</f>
        <v>2</v>
      </c>
      <c r="CH7" s="755" t="str">
        <f ca="1">IF(COUNTIFS($CG$6:$CG$53,CG7,$BC$6:$BC$53,INDEX(T_Equipos[Grupo],MATCH(BD7,T_Equipos[NombreEquipo],0)))=1,"-","P."&amp;CG7&amp;" ("&amp;COUNTIFS($CG$6:$CG$53,CG7,$BC$6:$BC$53,INDEX(T_Equipos[Grupo],MATCH(BD7,T_Equipos[NombreEquipo],0)))&amp;")")</f>
        <v>-</v>
      </c>
      <c r="CI7" s="756" t="str">
        <f ca="1">IF($CH7="-","-",COUNTIFS(FGLocal,$BD7,Ganador,"Local",Part2Empate4V,$CH7)+COUNTIFS(FGVisitante,$BD7,Ganador,"Visitante",Part2Empate4L,$CH7))</f>
        <v>-</v>
      </c>
      <c r="CJ7" s="756" t="str">
        <f ca="1">IF($CH7="-","-",COUNTIFS(FGLocal,$BD7,Ganador,"Empate",Part2Empate4V,$CH7)+COUNTIFS(FGVisitante,$BD7,Ganador,"Empate",Part2Empate4L,$CH7))</f>
        <v>-</v>
      </c>
      <c r="CK7" s="756" t="str">
        <f ca="1">IF($CH7="-","-",COUNTIFS(FGLocal,$BD7,Ganador,"Visitante",Part2Empate4V,$CH7)+COUNTIFS(FGVisitante,$BD7,Ganador,"Local",Part2Empate4L,$CH7))</f>
        <v>-</v>
      </c>
      <c r="CL7" s="756" t="str">
        <f ca="1">IF($CH7="-","-",CI7*3+CJ7)</f>
        <v>-</v>
      </c>
      <c r="CM7" s="756">
        <f ca="1">CG7+COUNTIFS($CH$6:$CH$53,CH7,$CL$6:CL$53,"&gt;"&amp;CL7,$BC$6:$BC$53,INDEX(T_Equipos[Grupo],MATCH(BD7,T_Equipos[NombreEquipo],0)))</f>
        <v>2</v>
      </c>
      <c r="CN7" s="755" t="str">
        <f ca="1">IF(COUNTIFS($CM$6:$CM$53,CM7,$BC$6:$BC$53,INDEX(T_Equipos[Grupo],MATCH(BD7,T_Equipos[NombreEquipo],0)))=1,"-","P."&amp;CM7&amp;" ("&amp;COUNTIFS($CM$6:$CM$53,CM7,$BC$6:$BC$53,INDEX(T_Equipos[Grupo],MATCH(BD7,T_Equipos[NombreEquipo],0)))&amp;")")</f>
        <v>-</v>
      </c>
      <c r="CO7" s="756" t="str">
        <f ca="1">IF($CN7="-","-",SUMIFS(FG_GolesLocal,FGLocal,$BD7,Part2Empate5V,$CN7)+SUMIFS(FG_GolesVisitante,FGVisitante,$BD7,Part2Empate5L,$CN7))</f>
        <v>-</v>
      </c>
      <c r="CP7" s="756" t="str">
        <f ca="1">IF($CN7="-","-",SUMIFS(FG_GolesVisitante,FGLocal,$BD7,Part2Empate5V,$CN7)+SUMIFS(FG_GolesLocal,FGVisitante,$BD7,Part2Empate5L,$CN7))</f>
        <v>-</v>
      </c>
      <c r="CQ7" s="756" t="str">
        <f ca="1">IF($CN7="-","-",CO7-CP7)</f>
        <v>-</v>
      </c>
      <c r="CR7" s="756">
        <f ca="1">CM7+COUNTIFS($CN$6:$CN$53,CN7,$CQ$6:CQ$53,"&gt;"&amp;CQ7,$BC$6:$BC$53,INDEX(T_Equipos[Grupo],MATCH(BD7,T_Equipos[NombreEquipo],0)))</f>
        <v>2</v>
      </c>
      <c r="CS7" s="755" t="str">
        <f ca="1">IF(COUNTIFS($CR$6:$CR$53,CR7,$BC$6:$BC$53,INDEX(T_Equipos[Grupo],MATCH(BD7,T_Equipos[NombreEquipo],0)))=1,"-","P."&amp;CR7&amp;" ("&amp;COUNTIFS($CR$6:$CR$53,CR7,$BC$6:$BC$53,INDEX(T_Equipos[Grupo],MATCH(BD7,T_Equipos[NombreEquipo],0)))&amp;")")</f>
        <v>-</v>
      </c>
      <c r="CT7" s="756" t="str">
        <f ca="1">IF($CS7="-","-",SUMIFS(FG_GolesLocal,FGLocal,$BD7,Part2Empate6V,$CS7)+SUMIFS(FG_GolesVisitante,FGVisitante,$BD7,Part2Empate6L,$CS7))</f>
        <v>-</v>
      </c>
      <c r="CU7" s="756">
        <f ca="1">CR7+COUNTIFS($CS$6:$CS$53,CS7,$CT$6:CT$53,"&gt;"&amp;CT7,$BC$6:$BC$53,INDEX(T_Equipos[Grupo],MATCH(BD7,T_Equipos[NombreEquipo],0)))</f>
        <v>2</v>
      </c>
      <c r="CV7" s="755" t="str">
        <f ca="1">IF(COUNTIFS($CU$6:$CU$53,CU7,$BC$6:$BC$53,INDEX(T_Equipos[Grupo],MATCH(BD7,T_Equipos[NombreEquipo],0)))=1,"-","P."&amp;CU7&amp;" ("&amp;COUNTIFS($CU$6:$CU$53,CU7,$BC$6:$BC$53,INDEX(T_Equipos[Grupo],MATCH(BD7,T_Equipos[NombreEquipo],0)))&amp;")")</f>
        <v>-</v>
      </c>
      <c r="CW7" s="755" t="str">
        <f t="shared" ref="CW7:CW53" ca="1" si="30">IF(CV7="-","-",BL7)</f>
        <v>-</v>
      </c>
      <c r="CX7" s="755">
        <f ca="1">CU7+COUNTIFS($CV$6:$CV$53,CV7,$CW$6:CW$53,"&gt;"&amp;CW7,$BC$6:$BC$53,INDEX(T_Equipos[Grupo],MATCH(BD7,T_Equipos[NombreEquipo],0)))</f>
        <v>2</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2</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2</v>
      </c>
      <c r="DE7" s="754"/>
      <c r="DF7" s="754">
        <f t="shared" ref="DF7:DF9" ca="1" si="32">IF(OR(INDEX($AW$6:$AW$97,MATCH($BD7,$AV$6:$AV$97,0))="",DB7="-"),DD7,INDEX($AW$6:$AW$97,MATCH($BD7,$AV$6:$AV$97,0))+DD7/1000)</f>
        <v>2</v>
      </c>
      <c r="DG7" s="754" t="str">
        <f ca="1">IF(DB7="-","-",COUNTIFS(DF$6:DF$53,"&lt;"&amp;DF7,$BC$6:$BC$53,INDEX(T_Equipos[Grupo],MATCH(BD7,T_Equipos[NombreEquipo],0))))</f>
        <v>-</v>
      </c>
      <c r="DH7" s="754">
        <f ca="1">DA7+COUNTIFS(DB$6:DB$53,DB7,DG$6:DG$53,"&lt;"&amp;DG7,$BC$6:$BC$53,INDEX(T_Equipos[Grupo],MATCH(BD7,T_Equipos[NombreEquipo],0)))</f>
        <v>2</v>
      </c>
      <c r="DI7" s="742"/>
      <c r="DJ7" s="742">
        <f ca="1">INDEX($DA$6:$DA$53,MATCH($DQ7,$BD$6:$BD$53,0))</f>
        <v>2</v>
      </c>
      <c r="DK7" s="742">
        <f t="shared" ca="1" si="24"/>
        <v>12</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Sudáfrica</v>
      </c>
      <c r="DR7" s="742"/>
      <c r="DS7" s="742"/>
      <c r="DT7" s="742" t="str">
        <f t="shared" ca="1" si="15"/>
        <v>México-Corea del Sur</v>
      </c>
      <c r="DU7" s="742"/>
      <c r="DV7" s="742"/>
      <c r="DW7" s="8"/>
    </row>
    <row r="8" spans="1:127" ht="16.95" customHeight="1">
      <c r="A8" s="743" t="str">
        <f ca="1">+Equipos!B5</f>
        <v>República Checa</v>
      </c>
      <c r="B8" s="740"/>
      <c r="C8" s="742"/>
      <c r="D8" s="742" t="str">
        <f t="shared" si="0"/>
        <v>Visitante</v>
      </c>
      <c r="E8" s="742" t="str">
        <f t="shared" ca="1" si="1"/>
        <v>-</v>
      </c>
      <c r="F8" s="742" t="str">
        <f t="shared" ca="1" si="2"/>
        <v>-</v>
      </c>
      <c r="G8" s="742"/>
      <c r="H8" s="742" t="str">
        <f t="shared" ca="1" si="3"/>
        <v>-</v>
      </c>
      <c r="I8" s="742" t="str">
        <f t="shared" ca="1" si="4"/>
        <v>-</v>
      </c>
      <c r="J8" s="742"/>
      <c r="K8" s="742" t="str">
        <f t="shared" ca="1" si="5"/>
        <v>-</v>
      </c>
      <c r="L8" s="742" t="str">
        <f t="shared" ca="1" si="6"/>
        <v>-</v>
      </c>
      <c r="M8" s="742"/>
      <c r="N8" s="742" t="str">
        <f t="shared" ca="1" si="7"/>
        <v>-</v>
      </c>
      <c r="O8" s="742" t="str">
        <f t="shared" ca="1" si="8"/>
        <v>-</v>
      </c>
      <c r="P8" s="742"/>
      <c r="Q8" s="742" t="str">
        <f t="shared" ca="1" si="9"/>
        <v>-</v>
      </c>
      <c r="R8" s="742" t="str">
        <f t="shared" ca="1" si="10"/>
        <v>-</v>
      </c>
      <c r="S8" s="742"/>
      <c r="T8" s="742" t="str">
        <f t="shared" ca="1" si="11"/>
        <v>-</v>
      </c>
      <c r="U8" s="742" t="str">
        <f t="shared" ca="1" si="12"/>
        <v>-</v>
      </c>
      <c r="V8" s="172"/>
      <c r="W8" s="801"/>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3</v>
      </c>
      <c r="BG8" s="746">
        <f t="shared" ca="1" si="17"/>
        <v>1</v>
      </c>
      <c r="BH8" s="746">
        <f t="shared" ca="1" si="18"/>
        <v>0</v>
      </c>
      <c r="BI8" s="746">
        <f t="shared" ca="1" si="19"/>
        <v>2</v>
      </c>
      <c r="BJ8" s="746">
        <f t="shared" ca="1" si="20"/>
        <v>2</v>
      </c>
      <c r="BK8" s="746">
        <f t="shared" ca="1" si="21"/>
        <v>3</v>
      </c>
      <c r="BL8" s="746">
        <f t="shared" ca="1" si="27"/>
        <v>-1</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3</v>
      </c>
      <c r="BT8" s="755" t="str">
        <f ca="1">IF(COUNTIFS($BS$6:$BS$53,BS8,$BC$6:$BC$53,INDEX(T_Equipos[Grupo],MATCH(BD8,T_Equipos[NombreEquipo],0)))=1,"-","P."&amp;BS8&amp;" ("&amp;COUNTIFS($BS$6:$BS$53,BS8,$BC$6:$BC$53,INDEX(T_Equipos[Grupo],MATCH(BD8,T_Equipos[NombreEquipo],0)))&amp;")")</f>
        <v>-</v>
      </c>
      <c r="BU8" s="756" t="str">
        <f ca="1">IF($BT8="-","-",COUNTIFS(FGLocal,$BD8,Ganador,"Local",Part1Empate1V,$BT8)+COUNTIFS(FGVisitante,$BD8,Ganador,"Visitante",Part1Empate1L,$BT8))</f>
        <v>-</v>
      </c>
      <c r="BV8" s="756" t="str">
        <f ca="1">IF($BT8="-","-",COUNTIFS(FGLocal,$BD8,Ganador,"Empate",Part1Empate1V,$BT8)+COUNTIFS(FGVisitante,$BD8,Ganador,"Empate",Part1Empate1L,$BT8))</f>
        <v>-</v>
      </c>
      <c r="BW8" s="756" t="str">
        <f ca="1">IF($BT8="-","-",COUNTIFS(FGLocal,$BD8,Ganador,"Visitante",Part1Empate1V,$BT8)+COUNTIFS(FGVisitante,$BD8,Ganador,"Local",Part1Empate1L,$BT8))</f>
        <v>-</v>
      </c>
      <c r="BX8" s="756" t="str">
        <f ca="1">IF($BT8="-","-",BU8*3+BV8)</f>
        <v>-</v>
      </c>
      <c r="BY8" s="756">
        <f ca="1">BS8+COUNTIFS($BT$6:$BT$53,BT8,$BX$6:BX$53,"&gt;"&amp;BX8,$BC$6:$BC$53,INDEX(T_Equipos[Grupo],MATCH(BD8,T_Equipos[NombreEquipo],0)))</f>
        <v>3</v>
      </c>
      <c r="BZ8" s="755" t="str">
        <f ca="1">IF(COUNTIFS($BY$6:$BY$53,BY8,$BC$6:$BC$53,INDEX(T_Equipos[Grupo],MATCH(BD8,T_Equipos[NombreEquipo],0)))=1,"-","P."&amp;BY8&amp;" ("&amp;COUNTIFS($BY$6:$BY$53,BY8,$BC$6:$BC$53,INDEX(T_Equipos[Grupo],MATCH(BD8,T_Equipos[NombreEquipo],0)))&amp;")")</f>
        <v>-</v>
      </c>
      <c r="CA8" s="756" t="str">
        <f ca="1">IF($BZ8="-","-",SUMIFS(FG_GolesLocal,FGLocal,$BD8,Part1Empate2V,$BZ8)+SUMIFS(FG_GolesVisitante,FGVisitante,$BD8,Part1Empate2L,$BZ8))</f>
        <v>-</v>
      </c>
      <c r="CB8" s="756" t="str">
        <f ca="1">IF($BZ8="-","-",SUMIFS(FG_GolesVisitante,FGLocal,$BD8,Part1Empate2V,$BZ8)+SUMIFS(FG_GolesLocal,FGVisitante,$BD8,Part1Empate2L,$BZ8))</f>
        <v>-</v>
      </c>
      <c r="CC8" s="756" t="str">
        <f ca="1">IF($BZ8="-","-",CA8-CB8)</f>
        <v>-</v>
      </c>
      <c r="CD8" s="756">
        <f ca="1">BY8+COUNTIFS($BZ$6:$BZ$53,BZ8,$CC$6:CC$53,"&gt;"&amp;CC8,$BC$6:$BC$53,INDEX(T_Equipos[Grupo],MATCH(BD8,T_Equipos[NombreEquipo],0)))</f>
        <v>3</v>
      </c>
      <c r="CE8" s="755" t="str">
        <f ca="1">IF(COUNTIFS($CD$6:$CD$53,CD8,$BC$6:$BC$53,INDEX(T_Equipos[Grupo],MATCH(BD8,T_Equipos[NombreEquipo],0)))=1,"-","P."&amp;CD8&amp;" ("&amp;COUNTIFS($CD$6:$CD$53,CD8,$BC$6:$BC$53,INDEX(T_Equipos[Grupo],MATCH(BD8,T_Equipos[NombreEquipo],0)))&amp;")")</f>
        <v>-</v>
      </c>
      <c r="CF8" s="756" t="str">
        <f ca="1">IF($CE8="-","-",SUMIFS(FG_GolesLocal,FGLocal,$BD8,Part1Empate3V,$CE8)+SUMIFS(FG_GolesVisitante,FGVisitante,$BD8,Part1Empate3L,$CE8))</f>
        <v>-</v>
      </c>
      <c r="CG8" s="756">
        <f ca="1">CD8+COUNTIFS($CE$6:$CE$53,CE8,$CF$6:CF$53,"&gt;"&amp;CF8,$BC$6:$BC$53,INDEX(T_Equipos[Grupo],MATCH(BD8,T_Equipos[NombreEquipo],0)))</f>
        <v>3</v>
      </c>
      <c r="CH8" s="755" t="str">
        <f ca="1">IF(COUNTIFS($CG$6:$CG$53,CG8,$BC$6:$BC$53,INDEX(T_Equipos[Grupo],MATCH(BD8,T_Equipos[NombreEquipo],0)))=1,"-","P."&amp;CG8&amp;" ("&amp;COUNTIFS($CG$6:$CG$53,CG8,$BC$6:$BC$53,INDEX(T_Equipos[Grupo],MATCH(BD8,T_Equipos[NombreEquipo],0)))&amp;")")</f>
        <v>-</v>
      </c>
      <c r="CI8" s="756" t="str">
        <f ca="1">IF($CH8="-","-",COUNTIFS(FGLocal,$BD8,Ganador,"Local",Part2Empate4V,$CH8)+COUNTIFS(FGVisitante,$BD8,Ganador,"Visitante",Part2Empate4L,$CH8))</f>
        <v>-</v>
      </c>
      <c r="CJ8" s="756" t="str">
        <f ca="1">IF($CH8="-","-",COUNTIFS(FGLocal,$BD8,Ganador,"Empate",Part2Empate4V,$CH8)+COUNTIFS(FGVisitante,$BD8,Ganador,"Empate",Part2Empate4L,$CH8))</f>
        <v>-</v>
      </c>
      <c r="CK8" s="756" t="str">
        <f ca="1">IF($CH8="-","-",COUNTIFS(FGLocal,$BD8,Ganador,"Visitante",Part2Empate4V,$CH8)+COUNTIFS(FGVisitante,$BD8,Ganador,"Local",Part2Empate4L,$CH8))</f>
        <v>-</v>
      </c>
      <c r="CL8" s="756" t="str">
        <f ca="1">IF($CH8="-","-",CI8*3+CJ8)</f>
        <v>-</v>
      </c>
      <c r="CM8" s="756">
        <f ca="1">CG8+COUNTIFS($CH$6:$CH$53,CH8,$CL$6:CL$53,"&gt;"&amp;CL8,$BC$6:$BC$53,INDEX(T_Equipos[Grupo],MATCH(BD8,T_Equipos[NombreEquipo],0)))</f>
        <v>3</v>
      </c>
      <c r="CN8" s="755" t="str">
        <f ca="1">IF(COUNTIFS($CM$6:$CM$53,CM8,$BC$6:$BC$53,INDEX(T_Equipos[Grupo],MATCH(BD8,T_Equipos[NombreEquipo],0)))=1,"-","P."&amp;CM8&amp;" ("&amp;COUNTIFS($CM$6:$CM$53,CM8,$BC$6:$BC$53,INDEX(T_Equipos[Grupo],MATCH(BD8,T_Equipos[NombreEquipo],0)))&amp;")")</f>
        <v>-</v>
      </c>
      <c r="CO8" s="756" t="str">
        <f ca="1">IF($CN8="-","-",SUMIFS(FG_GolesLocal,FGLocal,$BD8,Part2Empate5V,$CN8)+SUMIFS(FG_GolesVisitante,FGVisitante,$BD8,Part2Empate5L,$CN8))</f>
        <v>-</v>
      </c>
      <c r="CP8" s="756" t="str">
        <f ca="1">IF($CN8="-","-",SUMIFS(FG_GolesVisitante,FGLocal,$BD8,Part2Empate5V,$CN8)+SUMIFS(FG_GolesLocal,FGVisitante,$BD8,Part2Empate5L,$CN8))</f>
        <v>-</v>
      </c>
      <c r="CQ8" s="756" t="str">
        <f ca="1">IF($CN8="-","-",CO8-CP8)</f>
        <v>-</v>
      </c>
      <c r="CR8" s="756">
        <f ca="1">CM8+COUNTIFS($CN$6:$CN$53,CN8,$CQ$6:CQ$53,"&gt;"&amp;CQ8,$BC$6:$BC$53,INDEX(T_Equipos[Grupo],MATCH(BD8,T_Equipos[NombreEquipo],0)))</f>
        <v>3</v>
      </c>
      <c r="CS8" s="755" t="str">
        <f ca="1">IF(COUNTIFS($CR$6:$CR$53,CR8,$BC$6:$BC$53,INDEX(T_Equipos[Grupo],MATCH(BD8,T_Equipos[NombreEquipo],0)))=1,"-","P."&amp;CR8&amp;" ("&amp;COUNTIFS($CR$6:$CR$53,CR8,$BC$6:$BC$53,INDEX(T_Equipos[Grupo],MATCH(BD8,T_Equipos[NombreEquipo],0)))&amp;")")</f>
        <v>-</v>
      </c>
      <c r="CT8" s="756" t="str">
        <f ca="1">IF($CS8="-","-",SUMIFS(FG_GolesLocal,FGLocal,$BD8,Part2Empate6V,$CS8)+SUMIFS(FG_GolesVisitante,FGVisitante,$BD8,Part2Empate6L,$CS8))</f>
        <v>-</v>
      </c>
      <c r="CU8" s="756">
        <f ca="1">CR8+COUNTIFS($CS$6:$CS$53,CS8,$CT$6:CT$53,"&gt;"&amp;CT8,$BC$6:$BC$53,INDEX(T_Equipos[Grupo],MATCH(BD8,T_Equipos[NombreEquipo],0)))</f>
        <v>3</v>
      </c>
      <c r="CV8" s="755" t="str">
        <f ca="1">IF(COUNTIFS($CU$6:$CU$53,CU8,$BC$6:$BC$53,INDEX(T_Equipos[Grupo],MATCH(BD8,T_Equipos[NombreEquipo],0)))=1,"-","P."&amp;CU8&amp;" ("&amp;COUNTIFS($CU$6:$CU$53,CU8,$BC$6:$BC$53,INDEX(T_Equipos[Grupo],MATCH(BD8,T_Equipos[NombreEquipo],0)))&amp;")")</f>
        <v>-</v>
      </c>
      <c r="CW8" s="755" t="str">
        <f t="shared" ca="1" si="30"/>
        <v>-</v>
      </c>
      <c r="CX8" s="755">
        <f ca="1">CU8+COUNTIFS($CV$6:$CV$53,CV8,$CW$6:CW$53,"&gt;"&amp;CW8,$BC$6:$BC$53,INDEX(T_Equipos[Grupo],MATCH(BD8,T_Equipos[NombreEquipo],0)))</f>
        <v>3</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3</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3</v>
      </c>
      <c r="DE8" s="754"/>
      <c r="DF8" s="754">
        <f t="shared" ca="1" si="32"/>
        <v>3</v>
      </c>
      <c r="DG8" s="754" t="str">
        <f ca="1">IF(DB8="-","-",COUNTIFS(DF$6:DF$53,"&lt;"&amp;DF8,$BC$6:$BC$53,INDEX(T_Equipos[Grupo],MATCH(BD8,T_Equipos[NombreEquipo],0))))</f>
        <v>-</v>
      </c>
      <c r="DH8" s="754">
        <f ca="1">DA8+COUNTIFS(DB$6:DB$53,DB8,DG$6:DG$53,"&lt;"&amp;DG8,$BC$6:$BC$53,INDEX(T_Equipos[Grupo],MATCH(BD8,T_Equipos[NombreEquipo],0)))</f>
        <v>3</v>
      </c>
      <c r="DI8" s="742"/>
      <c r="DJ8" s="742">
        <f ca="1">INDEX($DA$6:$DA$53,MATCH($DQ8,$BD$6:$BD$53,0))</f>
        <v>3</v>
      </c>
      <c r="DK8" s="742">
        <f t="shared" ca="1" si="24"/>
        <v>12</v>
      </c>
      <c r="DL8" s="742">
        <f t="shared" ca="1" si="33"/>
        <v>1</v>
      </c>
      <c r="DM8" s="736" t="str">
        <f t="shared" ca="1" si="34"/>
        <v>3.1</v>
      </c>
      <c r="DN8" s="742" cm="1">
        <f t="array" aca="1" ref="DN8" ca="1">OFFSET(Horarios!$P$3,DJ8-1,0,DL8,1)</f>
        <v>3</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Local</v>
      </c>
      <c r="E9" s="742" t="str">
        <f t="shared" ca="1" si="1"/>
        <v>-</v>
      </c>
      <c r="F9" s="742" t="str">
        <f t="shared" ca="1" si="2"/>
        <v>-</v>
      </c>
      <c r="G9" s="742"/>
      <c r="H9" s="742" t="str">
        <f t="shared" ca="1" si="3"/>
        <v>-</v>
      </c>
      <c r="I9" s="742" t="str">
        <f t="shared" ca="1" si="4"/>
        <v>-</v>
      </c>
      <c r="J9" s="742"/>
      <c r="K9" s="742" t="str">
        <f t="shared" ca="1" si="5"/>
        <v>-</v>
      </c>
      <c r="L9" s="742" t="str">
        <f t="shared" ca="1" si="6"/>
        <v>-</v>
      </c>
      <c r="M9" s="742"/>
      <c r="N9" s="742" t="str">
        <f t="shared" ca="1" si="7"/>
        <v>-</v>
      </c>
      <c r="O9" s="742" t="str">
        <f t="shared" ca="1" si="8"/>
        <v>-</v>
      </c>
      <c r="P9" s="742"/>
      <c r="Q9" s="742" t="str">
        <f t="shared" ca="1" si="9"/>
        <v>-</v>
      </c>
      <c r="R9" s="742" t="str">
        <f t="shared" ca="1" si="10"/>
        <v>-</v>
      </c>
      <c r="S9" s="742"/>
      <c r="T9" s="742" t="str">
        <f t="shared" ca="1" si="11"/>
        <v>-</v>
      </c>
      <c r="U9" s="742" t="str">
        <f t="shared" ca="1" si="12"/>
        <v>-</v>
      </c>
      <c r="V9" s="172"/>
      <c r="W9" s="802"/>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3</v>
      </c>
      <c r="BG9" s="746">
        <f t="shared" ca="1" si="17"/>
        <v>0</v>
      </c>
      <c r="BH9" s="746">
        <f t="shared" ca="1" si="18"/>
        <v>1</v>
      </c>
      <c r="BI9" s="746">
        <f t="shared" ca="1" si="19"/>
        <v>2</v>
      </c>
      <c r="BJ9" s="746">
        <f t="shared" ca="1" si="20"/>
        <v>2</v>
      </c>
      <c r="BK9" s="746">
        <f t="shared" ca="1" si="21"/>
        <v>6</v>
      </c>
      <c r="BL9" s="746">
        <f t="shared" ca="1" si="27"/>
        <v>-4</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4</v>
      </c>
      <c r="BT9" s="755" t="str">
        <f ca="1">IF(COUNTIFS($BS$6:$BS$53,BS9,$BC$6:$BC$53,INDEX(T_Equipos[Grupo],MATCH(BD9,T_Equipos[NombreEquipo],0)))=1,"-","P."&amp;BS9&amp;" ("&amp;COUNTIFS($BS$6:$BS$53,BS9,$BC$6:$BC$53,INDEX(T_Equipos[Grupo],MATCH(BD9,T_Equipos[NombreEquipo],0)))&amp;")")</f>
        <v>-</v>
      </c>
      <c r="BU9" s="756" t="str">
        <f ca="1">IF($BT9="-","-",COUNTIFS(FGLocal,$BD9,Ganador,"Local",Part1Empate1V,$BT9)+COUNTIFS(FGVisitante,$BD9,Ganador,"Visitante",Part1Empate1L,$BT9))</f>
        <v>-</v>
      </c>
      <c r="BV9" s="756" t="str">
        <f ca="1">IF($BT9="-","-",COUNTIFS(FGLocal,$BD9,Ganador,"Empate",Part1Empate1V,$BT9)+COUNTIFS(FGVisitante,$BD9,Ganador,"Empate",Part1Empate1L,$BT9))</f>
        <v>-</v>
      </c>
      <c r="BW9" s="756" t="str">
        <f ca="1">IF($BT9="-","-",COUNTIFS(FGLocal,$BD9,Ganador,"Visitante",Part1Empate1V,$BT9)+COUNTIFS(FGVisitante,$BD9,Ganador,"Local",Part1Empate1L,$BT9))</f>
        <v>-</v>
      </c>
      <c r="BX9" s="756" t="str">
        <f ca="1">IF($BT9="-","-",BU9*3+BV9)</f>
        <v>-</v>
      </c>
      <c r="BY9" s="756">
        <f ca="1">BS9+COUNTIFS($BT$6:$BT$53,BT9,$BX$6:BX$53,"&gt;"&amp;BX9,$BC$6:$BC$53,INDEX(T_Equipos[Grupo],MATCH(BD9,T_Equipos[NombreEquipo],0)))</f>
        <v>4</v>
      </c>
      <c r="BZ9" s="755" t="str">
        <f ca="1">IF(COUNTIFS($BY$6:$BY$53,BY9,$BC$6:$BC$53,INDEX(T_Equipos[Grupo],MATCH(BD9,T_Equipos[NombreEquipo],0)))=1,"-","P."&amp;BY9&amp;" ("&amp;COUNTIFS($BY$6:$BY$53,BY9,$BC$6:$BC$53,INDEX(T_Equipos[Grupo],MATCH(BD9,T_Equipos[NombreEquipo],0)))&amp;")")</f>
        <v>-</v>
      </c>
      <c r="CA9" s="756" t="str">
        <f ca="1">IF($BZ9="-","-",SUMIFS(FG_GolesLocal,FGLocal,$BD9,Part1Empate2V,$BZ9)+SUMIFS(FG_GolesVisitante,FGVisitante,$BD9,Part1Empate2L,$BZ9))</f>
        <v>-</v>
      </c>
      <c r="CB9" s="756" t="str">
        <f ca="1">IF($BZ9="-","-",SUMIFS(FG_GolesVisitante,FGLocal,$BD9,Part1Empate2V,$BZ9)+SUMIFS(FG_GolesLocal,FGVisitante,$BD9,Part1Empate2L,$BZ9))</f>
        <v>-</v>
      </c>
      <c r="CC9" s="756" t="str">
        <f ca="1">IF($BZ9="-","-",CA9-CB9)</f>
        <v>-</v>
      </c>
      <c r="CD9" s="756">
        <f ca="1">BY9+COUNTIFS($BZ$6:$BZ$53,BZ9,$CC$6:CC$53,"&gt;"&amp;CC9,$BC$6:$BC$53,INDEX(T_Equipos[Grupo],MATCH(BD9,T_Equipos[NombreEquipo],0)))</f>
        <v>4</v>
      </c>
      <c r="CE9" s="755" t="str">
        <f ca="1">IF(COUNTIFS($CD$6:$CD$53,CD9,$BC$6:$BC$53,INDEX(T_Equipos[Grupo],MATCH(BD9,T_Equipos[NombreEquipo],0)))=1,"-","P."&amp;CD9&amp;" ("&amp;COUNTIFS($CD$6:$CD$53,CD9,$BC$6:$BC$53,INDEX(T_Equipos[Grupo],MATCH(BD9,T_Equipos[NombreEquipo],0)))&amp;")")</f>
        <v>-</v>
      </c>
      <c r="CF9" s="756" t="str">
        <f ca="1">IF($CE9="-","-",SUMIFS(FG_GolesLocal,FGLocal,$BD9,Part1Empate3V,$CE9)+SUMIFS(FG_GolesVisitante,FGVisitante,$BD9,Part1Empate3L,$CE9))</f>
        <v>-</v>
      </c>
      <c r="CG9" s="756">
        <f ca="1">CD9+COUNTIFS($CE$6:$CE$53,CE9,$CF$6:CF$53,"&gt;"&amp;CF9,$BC$6:$BC$53,INDEX(T_Equipos[Grupo],MATCH(BD9,T_Equipos[NombreEquipo],0)))</f>
        <v>4</v>
      </c>
      <c r="CH9" s="755" t="str">
        <f ca="1">IF(COUNTIFS($CG$6:$CG$53,CG9,$BC$6:$BC$53,INDEX(T_Equipos[Grupo],MATCH(BD9,T_Equipos[NombreEquipo],0)))=1,"-","P."&amp;CG9&amp;" ("&amp;COUNTIFS($CG$6:$CG$53,CG9,$BC$6:$BC$53,INDEX(T_Equipos[Grupo],MATCH(BD9,T_Equipos[NombreEquipo],0)))&amp;")")</f>
        <v>-</v>
      </c>
      <c r="CI9" s="756" t="str">
        <f ca="1">IF($CH9="-","-",COUNTIFS(FGLocal,$BD9,Ganador,"Local",Part2Empate4V,$CH9)+COUNTIFS(FGVisitante,$BD9,Ganador,"Visitante",Part2Empate4L,$CH9))</f>
        <v>-</v>
      </c>
      <c r="CJ9" s="756" t="str">
        <f ca="1">IF($CH9="-","-",COUNTIFS(FGLocal,$BD9,Ganador,"Empate",Part2Empate4V,$CH9)+COUNTIFS(FGVisitante,$BD9,Ganador,"Empate",Part2Empate4L,$CH9))</f>
        <v>-</v>
      </c>
      <c r="CK9" s="756" t="str">
        <f ca="1">IF($CH9="-","-",COUNTIFS(FGLocal,$BD9,Ganador,"Visitante",Part2Empate4V,$CH9)+COUNTIFS(FGVisitante,$BD9,Ganador,"Local",Part2Empate4L,$CH9))</f>
        <v>-</v>
      </c>
      <c r="CL9" s="756" t="str">
        <f ca="1">IF($CH9="-","-",CI9*3+CJ9)</f>
        <v>-</v>
      </c>
      <c r="CM9" s="756">
        <f ca="1">CG9+COUNTIFS($CH$6:$CH$53,CH9,$CL$6:CL$53,"&gt;"&amp;CL9,$BC$6:$BC$53,INDEX(T_Equipos[Grupo],MATCH(BD9,T_Equipos[NombreEquipo],0)))</f>
        <v>4</v>
      </c>
      <c r="CN9" s="755" t="str">
        <f ca="1">IF(COUNTIFS($CM$6:$CM$53,CM9,$BC$6:$BC$53,INDEX(T_Equipos[Grupo],MATCH(BD9,T_Equipos[NombreEquipo],0)))=1,"-","P."&amp;CM9&amp;" ("&amp;COUNTIFS($CM$6:$CM$53,CM9,$BC$6:$BC$53,INDEX(T_Equipos[Grupo],MATCH(BD9,T_Equipos[NombreEquipo],0)))&amp;")")</f>
        <v>-</v>
      </c>
      <c r="CO9" s="756" t="str">
        <f ca="1">IF($CN9="-","-",SUMIFS(FG_GolesLocal,FGLocal,$BD9,Part2Empate5V,$CN9)+SUMIFS(FG_GolesVisitante,FGVisitante,$BD9,Part2Empate5L,$CN9))</f>
        <v>-</v>
      </c>
      <c r="CP9" s="756" t="str">
        <f ca="1">IF($CN9="-","-",SUMIFS(FG_GolesVisitante,FGLocal,$BD9,Part2Empate5V,$CN9)+SUMIFS(FG_GolesLocal,FGVisitante,$BD9,Part2Empate5L,$CN9))</f>
        <v>-</v>
      </c>
      <c r="CQ9" s="756" t="str">
        <f ca="1">IF($CN9="-","-",CO9-CP9)</f>
        <v>-</v>
      </c>
      <c r="CR9" s="756">
        <f ca="1">CM9+COUNTIFS($CN$6:$CN$53,CN9,$CQ$6:CQ$53,"&gt;"&amp;CQ9,$BC$6:$BC$53,INDEX(T_Equipos[Grupo],MATCH(BD9,T_Equipos[NombreEquipo],0)))</f>
        <v>4</v>
      </c>
      <c r="CS9" s="755" t="str">
        <f ca="1">IF(COUNTIFS($CR$6:$CR$53,CR9,$BC$6:$BC$53,INDEX(T_Equipos[Grupo],MATCH(BD9,T_Equipos[NombreEquipo],0)))=1,"-","P."&amp;CR9&amp;" ("&amp;COUNTIFS($CR$6:$CR$53,CR9,$BC$6:$BC$53,INDEX(T_Equipos[Grupo],MATCH(BD9,T_Equipos[NombreEquipo],0)))&amp;")")</f>
        <v>-</v>
      </c>
      <c r="CT9" s="756" t="str">
        <f ca="1">IF($CS9="-","-",SUMIFS(FG_GolesLocal,FGLocal,$BD9,Part2Empate6V,$CS9)+SUMIFS(FG_GolesVisitante,FGVisitante,$BD9,Part2Empate6L,$CS9))</f>
        <v>-</v>
      </c>
      <c r="CU9" s="756">
        <f ca="1">CR9+COUNTIFS($CS$6:$CS$53,CS9,$CT$6:CT$53,"&gt;"&amp;CT9,$BC$6:$BC$53,INDEX(T_Equipos[Grupo],MATCH(BD9,T_Equipos[NombreEquipo],0)))</f>
        <v>4</v>
      </c>
      <c r="CV9" s="755" t="str">
        <f ca="1">IF(COUNTIFS($CU$6:$CU$53,CU9,$BC$6:$BC$53,INDEX(T_Equipos[Grupo],MATCH(BD9,T_Equipos[NombreEquipo],0)))=1,"-","P."&amp;CU9&amp;" ("&amp;COUNTIFS($CU$6:$CU$53,CU9,$BC$6:$BC$53,INDEX(T_Equipos[Grupo],MATCH(BD9,T_Equipos[NombreEquipo],0)))&amp;")")</f>
        <v>-</v>
      </c>
      <c r="CW9" s="755" t="str">
        <f t="shared" ca="1" si="30"/>
        <v>-</v>
      </c>
      <c r="CX9" s="755">
        <f ca="1">CU9+COUNTIFS($CV$6:$CV$53,CV9,$CW$6:CW$53,"&gt;"&amp;CW9,$BC$6:$BC$53,INDEX(T_Equipos[Grupo],MATCH(BD9,T_Equipos[NombreEquipo],0)))</f>
        <v>4</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4</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4</v>
      </c>
      <c r="DE9" s="754"/>
      <c r="DF9" s="754">
        <f t="shared" ca="1" si="32"/>
        <v>4</v>
      </c>
      <c r="DG9" s="754" t="str">
        <f ca="1">IF(DB9="-","-",COUNTIFS(DF$6:DF$53,"&lt;"&amp;DF9,$BC$6:$BC$53,INDEX(T_Equipos[Grupo],MATCH(BD9,T_Equipos[NombreEquipo],0))))</f>
        <v>-</v>
      </c>
      <c r="DH9" s="754">
        <f ca="1">DA9+COUNTIFS(DB$6:DB$53,DB9,DG$6:DG$53,"&lt;"&amp;DG9,$BC$6:$BC$53,INDEX(T_Equipos[Grupo],MATCH(BD9,T_Equipos[NombreEquipo],0)))</f>
        <v>4</v>
      </c>
      <c r="DI9" s="742"/>
      <c r="DJ9" s="742">
        <f ca="1">INDEX($DA$6:$DA$53,MATCH($DQ9,$BD$6:$BD$53,0))</f>
        <v>4</v>
      </c>
      <c r="DK9" s="742">
        <f t="shared" ca="1" si="24"/>
        <v>12</v>
      </c>
      <c r="DL9" s="742">
        <f t="shared" ca="1" si="33"/>
        <v>1</v>
      </c>
      <c r="DM9" s="736" t="str">
        <f t="shared" ca="1" si="34"/>
        <v>4.1</v>
      </c>
      <c r="DN9" s="742" cm="1">
        <f t="array" aca="1" ref="DN9" ca="1">OFFSET(Horarios!$P$3,DJ9-1,0,DL9,1)</f>
        <v>4</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4</v>
      </c>
      <c r="BF10" s="746">
        <f t="shared" ca="1" si="26"/>
        <v>3</v>
      </c>
      <c r="BG10" s="746">
        <f t="shared" ca="1" si="17"/>
        <v>1</v>
      </c>
      <c r="BH10" s="746">
        <f t="shared" ca="1" si="18"/>
        <v>1</v>
      </c>
      <c r="BI10" s="746">
        <f t="shared" ca="1" si="19"/>
        <v>1</v>
      </c>
      <c r="BJ10" s="746">
        <f t="shared" ca="1" si="20"/>
        <v>8</v>
      </c>
      <c r="BK10" s="746">
        <f t="shared" ca="1" si="21"/>
        <v>3</v>
      </c>
      <c r="BL10" s="746">
        <f t="shared" ca="1" si="27"/>
        <v>5</v>
      </c>
      <c r="BM10" s="746" t="str">
        <f t="shared" ca="1" si="22"/>
        <v>2B</v>
      </c>
      <c r="BN10" s="746" t="str">
        <f t="shared" ca="1" si="23"/>
        <v>2B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4</v>
      </c>
      <c r="BS10" s="755">
        <f ca="1">BP10+COUNTIFS($BQ$6:$BQ$53,BQ10,$BR$6:BR$53,"&gt;"&amp;BR10,$BC$6:$BC$53,INDEX(T_Equipos[Grupo],MATCH(BD10,T_Equipos[NombreEquipo],0)))</f>
        <v>2</v>
      </c>
      <c r="BT10" s="755" t="str">
        <f ca="1">IF(COUNTIFS($BS$6:$BS$53,BS10,$BC$6:$BC$53,INDEX(T_Equipos[Grupo],MATCH(BD10,T_Equipos[NombreEquipo],0)))=1,"-","P."&amp;BS10&amp;" ("&amp;COUNTIFS($BS$6:$BS$53,BS10,$BC$6:$BC$53,INDEX(T_Equipos[Grupo],MATCH(BD10,T_Equipos[NombreEquipo],0)))&amp;")")</f>
        <v>P.2 (2)</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2</v>
      </c>
      <c r="BZ10" s="755" t="str">
        <f ca="1">IF(COUNTIFS($BY$6:$BY$53,BY10,$BC$6:$BC$53,INDEX(T_Equipos[Grupo],MATCH(BD10,T_Equipos[NombreEquipo],0)))=1,"-","P."&amp;BY10&amp;" ("&amp;COUNTIFS($BY$6:$BY$53,BY10,$BC$6:$BC$53,INDEX(T_Equipos[Grupo],MATCH(BD10,T_Equipos[NombreEquipo],0)))&amp;")")</f>
        <v>P.2 (2)</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2</v>
      </c>
      <c r="CE10" s="755" t="str">
        <f ca="1">IF(COUNTIFS($CD$6:$CD$53,CD10,$BC$6:$BC$53,INDEX(T_Equipos[Grupo],MATCH(BD10,T_Equipos[NombreEquipo],0)))=1,"-","P."&amp;CD10&amp;" ("&amp;COUNTIFS($CD$6:$CD$53,CD10,$BC$6:$BC$53,INDEX(T_Equipos[Grupo],MATCH(BD10,T_Equipos[NombreEquipo],0)))&amp;")")</f>
        <v>P.2 (2)</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2</v>
      </c>
      <c r="CH10" s="755" t="str">
        <f ca="1">IF(COUNTIFS($CG$6:$CG$53,CG10,$BC$6:$BC$53,INDEX(T_Equipos[Grupo],MATCH(BD10,T_Equipos[NombreEquipo],0)))=1,"-","P."&amp;CG10&amp;" ("&amp;COUNTIFS($CG$6:$CG$53,CG10,$BC$6:$BC$53,INDEX(T_Equipos[Grupo],MATCH(BD10,T_Equipos[NombreEquipo],0)))&amp;")")</f>
        <v>P.2 (2)</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2</v>
      </c>
      <c r="CN10" s="755" t="str">
        <f ca="1">IF(COUNTIFS($CM$6:$CM$53,CM10,$BC$6:$BC$53,INDEX(T_Equipos[Grupo],MATCH(BD10,T_Equipos[NombreEquipo],0)))=1,"-","P."&amp;CM10&amp;" ("&amp;COUNTIFS($CM$6:$CM$53,CM10,$BC$6:$BC$53,INDEX(T_Equipos[Grupo],MATCH(BD10,T_Equipos[NombreEquipo],0)))&amp;")")</f>
        <v>P.2 (2)</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2</v>
      </c>
      <c r="CS10" s="755" t="str">
        <f ca="1">IF(COUNTIFS($CR$6:$CR$53,CR10,$BC$6:$BC$53,INDEX(T_Equipos[Grupo],MATCH(BD10,T_Equipos[NombreEquipo],0)))=1,"-","P."&amp;CR10&amp;" ("&amp;COUNTIFS($CR$6:$CR$53,CR10,$BC$6:$BC$53,INDEX(T_Equipos[Grupo],MATCH(BD10,T_Equipos[NombreEquipo],0)))&amp;")")</f>
        <v>P.2 (2)</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2</v>
      </c>
      <c r="CV10" s="755" t="str">
        <f ca="1">IF(COUNTIFS($CU$6:$CU$53,CU10,$BC$6:$BC$53,INDEX(T_Equipos[Grupo],MATCH(BD10,T_Equipos[NombreEquipo],0)))=1,"-","P."&amp;CU10&amp;" ("&amp;COUNTIFS($CU$6:$CU$53,CU10,$BC$6:$BC$53,INDEX(T_Equipos[Grupo],MATCH(BD10,T_Equipos[NombreEquipo],0)))&amp;")")</f>
        <v>P.2 (2)</v>
      </c>
      <c r="CW10" s="755">
        <f t="shared" ca="1" si="30"/>
        <v>5</v>
      </c>
      <c r="CX10" s="755">
        <f ca="1">CU10+COUNTIFS($CV$6:$CV$53,CV10,$CW$6:CW$53,"&gt;"&amp;CW10,$BC$6:$BC$53,INDEX(T_Equipos[Grupo],MATCH(BD10,T_Equipos[NombreEquipo],0)))</f>
        <v>2</v>
      </c>
      <c r="CY10" s="755" t="str">
        <f ca="1">IF(COUNTIFS($CX$6:$CX$53,CX10,$BC$6:$BC$53,INDEX(T_Equipos[Grupo],MATCH(BD10,T_Equipos[NombreEquipo],0)))=1,"-","P."&amp;CX10&amp;" ("&amp;COUNTIFS($CX$6:$CX$53,CX10,$BC$6:$BC$53,INDEX(T_Equipos[Grupo],MATCH(BD10,T_Equipos[NombreEquipo],0)))&amp;")")</f>
        <v>-</v>
      </c>
      <c r="CZ10" s="755" t="str">
        <f t="shared" ca="1" si="31"/>
        <v>-</v>
      </c>
      <c r="DA10" s="756">
        <f ca="1">CX10+COUNTIFS($CY$6:$CY$53,CY10,$CZ$6:CZ$53,"&gt;"&amp;CZ10,$BC$6:$BC$53,INDEX(T_Equipos[Grupo],MATCH(BD10,T_Equipos[NombreEquipo],0)))</f>
        <v>2</v>
      </c>
      <c r="DB10" s="755" t="str">
        <f ca="1">IF(COUNTIFS($DA$6:$DA$53,DA10,$BC$6:$BC$53,INDEX(T_Equipos[Grupo],MATCH(BD10,T_Equipos[NombreEquipo],0)))=1,"-","P."&amp;DA10&amp;" ("&amp;COUNTIFS($DA$6:$DA$53,DA10,$BC$6:$BC$53,INDEX(T_Equipos[Grupo],MATCH(BD10,T_Equipos[NombreEquipo],0)))&amp;")")</f>
        <v>-</v>
      </c>
      <c r="DC10" s="754" t="str">
        <f ca="1">IF(DB10="-","-",COUNTIFS(T_Equipos[Rank],"&lt;"&amp;INDEX(T_Equipos[Rank],MATCH(BD10,T_Equipos[NombreEquipo],0)),$BC$6:$BC$53,INDEX(T_Equipos[Grupo],MATCH(BD10,T_Equipos[NombreEquipo],0)))+1)</f>
        <v>-</v>
      </c>
      <c r="DD10" s="754">
        <f ca="1">DA10+COUNTIFS($DB$6:$DB$53,DB10,$DC$6:DC$53,"&lt;"&amp;DC10,$BC$6:$BC$53,INDEX(T_Equipos[Grupo],MATCH(BD10,T_Equipos[NombreEquipo],0)))</f>
        <v>2</v>
      </c>
      <c r="DE10" s="754"/>
      <c r="DF10" s="754">
        <f t="shared" ref="DF10:DF53" ca="1" si="52">IF(OR(INDEX($AW$6:$AW$97,MATCH($BD10,$AV$6:$AV$97,0))="",DB10="-"),DD10,INDEX($AW$6:$AW$97,MATCH($BD10,$AV$6:$AV$97,0))+DD10/1000)</f>
        <v>2</v>
      </c>
      <c r="DG10" s="754" t="str">
        <f ca="1">IF(DB10="-","-",COUNTIFS(DF$6:DF$53,"&lt;"&amp;DF10,$BC$6:$BC$53,INDEX(T_Equipos[Grupo],MATCH(BD10,T_Equipos[NombreEquipo],0))))</f>
        <v>-</v>
      </c>
      <c r="DH10" s="754">
        <f ca="1">DA10+COUNTIFS(DB$6:DB$53,DB10,DG$6:DG$53,"&lt;"&amp;DG10,$BC$6:$BC$53,INDEX(T_Equipos[Grupo],MATCH(BD10,T_Equipos[NombreEquipo],0)))</f>
        <v>2</v>
      </c>
      <c r="DI10" s="742"/>
      <c r="DJ10" s="742">
        <f t="shared" ref="DJ10:DJ53" ca="1" si="53">INDEX($DA$6:$DA$53,MATCH($DQ10,$BD$6:$BD$53,0))</f>
        <v>1</v>
      </c>
      <c r="DK10" s="742">
        <f t="shared" ca="1" si="24"/>
        <v>12</v>
      </c>
      <c r="DL10" s="742">
        <f t="shared" ca="1" si="33"/>
        <v>1</v>
      </c>
      <c r="DM10" s="736" t="str">
        <f t="shared" ca="1" si="34"/>
        <v>1.1</v>
      </c>
      <c r="DN10" s="742" cm="1">
        <f t="array" aca="1" ref="DN10" ca="1">OFFSET(Horarios!$P$3,DJ10-1,0,DL10,1)</f>
        <v>1</v>
      </c>
      <c r="DO10" s="742"/>
      <c r="DP10" s="742" t="s">
        <v>648</v>
      </c>
      <c r="DQ10" s="742" t="str">
        <f t="shared" ca="1" si="35"/>
        <v>Suiza</v>
      </c>
      <c r="DR10" s="742"/>
      <c r="DS10" s="742"/>
      <c r="DT10" s="742" t="str">
        <f t="shared" si="15"/>
        <v>-</v>
      </c>
      <c r="DU10" s="742"/>
      <c r="DV10" s="742"/>
      <c r="DW10" s="8"/>
    </row>
    <row r="11" spans="1:127" ht="16.0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4</v>
      </c>
      <c r="BF11" s="746">
        <f t="shared" ca="1" si="26"/>
        <v>3</v>
      </c>
      <c r="BG11" s="746">
        <f t="shared" ca="1" si="17"/>
        <v>1</v>
      </c>
      <c r="BH11" s="746">
        <f t="shared" ca="1" si="18"/>
        <v>1</v>
      </c>
      <c r="BI11" s="746">
        <f t="shared" ca="1" si="19"/>
        <v>1</v>
      </c>
      <c r="BJ11" s="746">
        <f t="shared" ca="1" si="20"/>
        <v>5</v>
      </c>
      <c r="BK11" s="746">
        <f t="shared" ca="1" si="21"/>
        <v>6</v>
      </c>
      <c r="BL11" s="746">
        <f t="shared" ca="1" si="27"/>
        <v>-1</v>
      </c>
      <c r="BM11" s="746" t="str">
        <f t="shared" ca="1" si="22"/>
        <v>3B</v>
      </c>
      <c r="BN11" s="746" t="str">
        <f t="shared" ca="1" si="23"/>
        <v>3B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4</v>
      </c>
      <c r="BS11" s="755">
        <f ca="1">BP11+COUNTIFS($BQ$6:$BQ$53,BQ11,$BR$6:BR$53,"&gt;"&amp;BR11,$BC$6:$BC$53,INDEX(T_Equipos[Grupo],MATCH(BD11,T_Equipos[NombreEquipo],0)))</f>
        <v>2</v>
      </c>
      <c r="BT11" s="755" t="str">
        <f ca="1">IF(COUNTIFS($BS$6:$BS$53,BS11,$BC$6:$BC$53,INDEX(T_Equipos[Grupo],MATCH(BD11,T_Equipos[NombreEquipo],0)))=1,"-","P."&amp;BS11&amp;" ("&amp;COUNTIFS($BS$6:$BS$53,BS11,$BC$6:$BC$53,INDEX(T_Equipos[Grupo],MATCH(BD11,T_Equipos[NombreEquipo],0)))&amp;")")</f>
        <v>P.2 (2)</v>
      </c>
      <c r="BU11" s="756">
        <f t="shared" ca="1" si="36"/>
        <v>0</v>
      </c>
      <c r="BV11" s="756">
        <f t="shared" ca="1" si="37"/>
        <v>1</v>
      </c>
      <c r="BW11" s="756">
        <f t="shared" ca="1" si="38"/>
        <v>0</v>
      </c>
      <c r="BX11" s="756">
        <f t="shared" ca="1" si="39"/>
        <v>1</v>
      </c>
      <c r="BY11" s="756">
        <f ca="1">BS11+COUNTIFS($BT$6:$BT$53,BT11,$BX$6:BX$53,"&gt;"&amp;BX11,$BC$6:$BC$53,INDEX(T_Equipos[Grupo],MATCH(BD11,T_Equipos[NombreEquipo],0)))</f>
        <v>2</v>
      </c>
      <c r="BZ11" s="755" t="str">
        <f ca="1">IF(COUNTIFS($BY$6:$BY$53,BY11,$BC$6:$BC$53,INDEX(T_Equipos[Grupo],MATCH(BD11,T_Equipos[NombreEquipo],0)))=1,"-","P."&amp;BY11&amp;" ("&amp;COUNTIFS($BY$6:$BY$53,BY11,$BC$6:$BC$53,INDEX(T_Equipos[Grupo],MATCH(BD11,T_Equipos[NombreEquipo],0)))&amp;")")</f>
        <v>P.2 (2)</v>
      </c>
      <c r="CA11" s="756">
        <f t="shared" ca="1" si="40"/>
        <v>1</v>
      </c>
      <c r="CB11" s="756">
        <f t="shared" ca="1" si="41"/>
        <v>1</v>
      </c>
      <c r="CC11" s="756">
        <f t="shared" ca="1" si="42"/>
        <v>0</v>
      </c>
      <c r="CD11" s="756">
        <f ca="1">BY11+COUNTIFS($BZ$6:$BZ$53,BZ11,$CC$6:CC$53,"&gt;"&amp;CC11,$BC$6:$BC$53,INDEX(T_Equipos[Grupo],MATCH(BD11,T_Equipos[NombreEquipo],0)))</f>
        <v>2</v>
      </c>
      <c r="CE11" s="755" t="str">
        <f ca="1">IF(COUNTIFS($CD$6:$CD$53,CD11,$BC$6:$BC$53,INDEX(T_Equipos[Grupo],MATCH(BD11,T_Equipos[NombreEquipo],0)))=1,"-","P."&amp;CD11&amp;" ("&amp;COUNTIFS($CD$6:$CD$53,CD11,$BC$6:$BC$53,INDEX(T_Equipos[Grupo],MATCH(BD11,T_Equipos[NombreEquipo],0)))&amp;")")</f>
        <v>P.2 (2)</v>
      </c>
      <c r="CF11" s="756">
        <f t="shared" ca="1" si="43"/>
        <v>1</v>
      </c>
      <c r="CG11" s="756">
        <f ca="1">CD11+COUNTIFS($CE$6:$CE$53,CE11,$CF$6:CF$53,"&gt;"&amp;CF11,$BC$6:$BC$53,INDEX(T_Equipos[Grupo],MATCH(BD11,T_Equipos[NombreEquipo],0)))</f>
        <v>2</v>
      </c>
      <c r="CH11" s="755" t="str">
        <f ca="1">IF(COUNTIFS($CG$6:$CG$53,CG11,$BC$6:$BC$53,INDEX(T_Equipos[Grupo],MATCH(BD11,T_Equipos[NombreEquipo],0)))=1,"-","P."&amp;CG11&amp;" ("&amp;COUNTIFS($CG$6:$CG$53,CG11,$BC$6:$BC$53,INDEX(T_Equipos[Grupo],MATCH(BD11,T_Equipos[NombreEquipo],0)))&amp;")")</f>
        <v>P.2 (2)</v>
      </c>
      <c r="CI11" s="756">
        <f t="shared" ca="1" si="44"/>
        <v>0</v>
      </c>
      <c r="CJ11" s="756">
        <f t="shared" ca="1" si="45"/>
        <v>1</v>
      </c>
      <c r="CK11" s="756">
        <f t="shared" ca="1" si="46"/>
        <v>0</v>
      </c>
      <c r="CL11" s="756">
        <f t="shared" ca="1" si="47"/>
        <v>1</v>
      </c>
      <c r="CM11" s="756">
        <f ca="1">CG11+COUNTIFS($CH$6:$CH$53,CH11,$CL$6:CL$53,"&gt;"&amp;CL11,$BC$6:$BC$53,INDEX(T_Equipos[Grupo],MATCH(BD11,T_Equipos[NombreEquipo],0)))</f>
        <v>2</v>
      </c>
      <c r="CN11" s="755" t="str">
        <f ca="1">IF(COUNTIFS($CM$6:$CM$53,CM11,$BC$6:$BC$53,INDEX(T_Equipos[Grupo],MATCH(BD11,T_Equipos[NombreEquipo],0)))=1,"-","P."&amp;CM11&amp;" ("&amp;COUNTIFS($CM$6:$CM$53,CM11,$BC$6:$BC$53,INDEX(T_Equipos[Grupo],MATCH(BD11,T_Equipos[NombreEquipo],0)))&amp;")")</f>
        <v>P.2 (2)</v>
      </c>
      <c r="CO11" s="756">
        <f t="shared" ca="1" si="48"/>
        <v>1</v>
      </c>
      <c r="CP11" s="756">
        <f t="shared" ca="1" si="49"/>
        <v>1</v>
      </c>
      <c r="CQ11" s="756">
        <f t="shared" ca="1" si="50"/>
        <v>0</v>
      </c>
      <c r="CR11" s="756">
        <f ca="1">CM11+COUNTIFS($CN$6:$CN$53,CN11,$CQ$6:CQ$53,"&gt;"&amp;CQ11,$BC$6:$BC$53,INDEX(T_Equipos[Grupo],MATCH(BD11,T_Equipos[NombreEquipo],0)))</f>
        <v>2</v>
      </c>
      <c r="CS11" s="755" t="str">
        <f ca="1">IF(COUNTIFS($CR$6:$CR$53,CR11,$BC$6:$BC$53,INDEX(T_Equipos[Grupo],MATCH(BD11,T_Equipos[NombreEquipo],0)))=1,"-","P."&amp;CR11&amp;" ("&amp;COUNTIFS($CR$6:$CR$53,CR11,$BC$6:$BC$53,INDEX(T_Equipos[Grupo],MATCH(BD11,T_Equipos[NombreEquipo],0)))&amp;")")</f>
        <v>P.2 (2)</v>
      </c>
      <c r="CT11" s="756">
        <f t="shared" ca="1" si="51"/>
        <v>1</v>
      </c>
      <c r="CU11" s="756">
        <f ca="1">CR11+COUNTIFS($CS$6:$CS$53,CS11,$CT$6:CT$53,"&gt;"&amp;CT11,$BC$6:$BC$53,INDEX(T_Equipos[Grupo],MATCH(BD11,T_Equipos[NombreEquipo],0)))</f>
        <v>2</v>
      </c>
      <c r="CV11" s="755" t="str">
        <f ca="1">IF(COUNTIFS($CU$6:$CU$53,CU11,$BC$6:$BC$53,INDEX(T_Equipos[Grupo],MATCH(BD11,T_Equipos[NombreEquipo],0)))=1,"-","P."&amp;CU11&amp;" ("&amp;COUNTIFS($CU$6:$CU$53,CU11,$BC$6:$BC$53,INDEX(T_Equipos[Grupo],MATCH(BD11,T_Equipos[NombreEquipo],0)))&amp;")")</f>
        <v>P.2 (2)</v>
      </c>
      <c r="CW11" s="755">
        <f t="shared" ca="1" si="30"/>
        <v>-1</v>
      </c>
      <c r="CX11" s="755">
        <f ca="1">CU11+COUNTIFS($CV$6:$CV$53,CV11,$CW$6:CW$53,"&gt;"&amp;CW11,$BC$6:$BC$53,INDEX(T_Equipos[Grupo],MATCH(BD11,T_Equipos[NombreEquipo],0)))</f>
        <v>3</v>
      </c>
      <c r="CY11" s="755" t="str">
        <f ca="1">IF(COUNTIFS($CX$6:$CX$53,CX11,$BC$6:$BC$53,INDEX(T_Equipos[Grupo],MATCH(BD11,T_Equipos[NombreEquipo],0)))=1,"-","P."&amp;CX11&amp;" ("&amp;COUNTIFS($CX$6:$CX$53,CX11,$BC$6:$BC$53,INDEX(T_Equipos[Grupo],MATCH(BD11,T_Equipos[NombreEquipo],0)))&amp;")")</f>
        <v>-</v>
      </c>
      <c r="CZ11" s="755" t="str">
        <f t="shared" ca="1" si="31"/>
        <v>-</v>
      </c>
      <c r="DA11" s="756">
        <f ca="1">CX11+COUNTIFS($CY$6:$CY$53,CY11,$CZ$6:CZ$53,"&gt;"&amp;CZ11,$BC$6:$BC$53,INDEX(T_Equipos[Grupo],MATCH(BD11,T_Equipos[NombreEquipo],0)))</f>
        <v>3</v>
      </c>
      <c r="DB11" s="755" t="str">
        <f ca="1">IF(COUNTIFS($DA$6:$DA$53,DA11,$BC$6:$BC$53,INDEX(T_Equipos[Grupo],MATCH(BD11,T_Equipos[NombreEquipo],0)))=1,"-","P."&amp;DA11&amp;" ("&amp;COUNTIFS($DA$6:$DA$53,DA11,$BC$6:$BC$53,INDEX(T_Equipos[Grupo],MATCH(BD11,T_Equipos[NombreEquipo],0)))&amp;")")</f>
        <v>-</v>
      </c>
      <c r="DC11" s="754" t="str">
        <f ca="1">IF(DB11="-","-",COUNTIFS(T_Equipos[Rank],"&lt;"&amp;INDEX(T_Equipos[Rank],MATCH(BD11,T_Equipos[NombreEquipo],0)),$BC$6:$BC$53,INDEX(T_Equipos[Grupo],MATCH(BD11,T_Equipos[NombreEquipo],0)))+1)</f>
        <v>-</v>
      </c>
      <c r="DD11" s="754">
        <f ca="1">DA11+COUNTIFS($DB$6:$DB$53,DB11,$DC$6:DC$53,"&lt;"&amp;DC11,$BC$6:$BC$53,INDEX(T_Equipos[Grupo],MATCH(BD11,T_Equipos[NombreEquipo],0)))</f>
        <v>3</v>
      </c>
      <c r="DE11" s="754"/>
      <c r="DF11" s="754">
        <f t="shared" ca="1" si="52"/>
        <v>3</v>
      </c>
      <c r="DG11" s="754" t="str">
        <f ca="1">IF(DB11="-","-",COUNTIFS(DF$6:DF$53,"&lt;"&amp;DF11,$BC$6:$BC$53,INDEX(T_Equipos[Grupo],MATCH(BD11,T_Equipos[NombreEquipo],0))))</f>
        <v>-</v>
      </c>
      <c r="DH11" s="754">
        <f ca="1">DA11+COUNTIFS(DB$6:DB$53,DB11,DG$6:DG$53,"&lt;"&amp;DG11,$BC$6:$BC$53,INDEX(T_Equipos[Grupo],MATCH(BD11,T_Equipos[NombreEquipo],0)))</f>
        <v>3</v>
      </c>
      <c r="DI11" s="742"/>
      <c r="DJ11" s="742">
        <f t="shared" ca="1" si="53"/>
        <v>2</v>
      </c>
      <c r="DK11" s="742">
        <f t="shared" ca="1" si="24"/>
        <v>12</v>
      </c>
      <c r="DL11" s="742">
        <f t="shared" ca="1" si="33"/>
        <v>1</v>
      </c>
      <c r="DM11" s="736" t="str">
        <f t="shared" ca="1" si="34"/>
        <v>2.1</v>
      </c>
      <c r="DN11" s="742" cm="1">
        <f t="array" aca="1" ref="DN11" ca="1">OFFSET(Horarios!$P$3,DJ11-1,0,DL11,1)</f>
        <v>2</v>
      </c>
      <c r="DO11" s="742"/>
      <c r="DP11" s="742" t="s">
        <v>649</v>
      </c>
      <c r="DQ11" s="742" t="str">
        <f t="shared" ca="1" si="35"/>
        <v>Canadá</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P.2 (2)</v>
      </c>
      <c r="F12" s="742" t="str">
        <f t="shared" ref="F12:F17" ca="1" si="56">IF(D12="Pendiente","-",INDEX($BT$6:$BT$53,MATCH($AF12,$BD$6:$BD$53,0)))</f>
        <v>P.2 (2)</v>
      </c>
      <c r="G12" s="742"/>
      <c r="H12" s="742" t="str">
        <f t="shared" ref="H12:H17" ca="1" si="57">IF(D12="Pendiente","-",INDEX($BZ$6:$BZ$53,MATCH($AA12,$BD$6:$BD$53,0)))</f>
        <v>P.2 (2)</v>
      </c>
      <c r="I12" s="742" t="str">
        <f t="shared" ref="I12:I17" ca="1" si="58">IF(D12="Pendiente","-",INDEX($BZ$6:$BZ$53,MATCH($AF12,$BD$6:$BD$53,0)))</f>
        <v>P.2 (2)</v>
      </c>
      <c r="J12" s="742"/>
      <c r="K12" s="742" t="str">
        <f t="shared" ref="K12:K17" ca="1" si="59">IF(D12="Pendiente","-",INDEX($CE$6:$CE$53,MATCH($AA12,$BD$6:$BD$53,0)))</f>
        <v>P.2 (2)</v>
      </c>
      <c r="L12" s="742" t="str">
        <f t="shared" ref="L12:L17" ca="1" si="60">IF(D12="Pendiente","-",INDEX($CE$6:$CE$53,MATCH($AF12,$BD$6:$BD$53,0)))</f>
        <v>P.2 (2)</v>
      </c>
      <c r="M12" s="742"/>
      <c r="N12" s="742" t="str">
        <f t="shared" ref="N12:N17" ca="1" si="61">IF(D12="Pendiente","-",INDEX($CH$6:$CH$53,MATCH($AA12,$BD$6:$BD$53,0)))</f>
        <v>P.2 (2)</v>
      </c>
      <c r="O12" s="742" t="str">
        <f t="shared" ref="O12:O17" ca="1" si="62">IF(D12="Pendiente","-",INDEX($CH$6:$CH$53,MATCH($AF12,$BD$6:$BD$53,0)))</f>
        <v>P.2 (2)</v>
      </c>
      <c r="P12" s="742"/>
      <c r="Q12" s="742" t="str">
        <f t="shared" ref="Q12:Q17" ca="1" si="63">IF(D12="Pendiente","-",INDEX($CN$6:$CN$53,MATCH($AA12,$BD$6:$BD$53,0)))</f>
        <v>P.2 (2)</v>
      </c>
      <c r="R12" s="742" t="str">
        <f t="shared" ref="R12:R17" ca="1" si="64">IF(D12="Pendiente","-",INDEX($CN$6:$CN$53,MATCH($AF12,$BD$6:$BD$53,0)))</f>
        <v>P.2 (2)</v>
      </c>
      <c r="S12" s="742"/>
      <c r="T12" s="742" t="str">
        <f t="shared" ref="T12:T17" ca="1" si="65">IF(D12="Pendiente","-",INDEX($CS$6:$CS$53,MATCH($AA12,$BD$6:$BD$53,0)))</f>
        <v>P.2 (2)</v>
      </c>
      <c r="U12" s="742" t="str">
        <f t="shared" ref="U12:U17" ca="1" si="66">IF(D12="Pendiente","-",INDEX($CS$6:$CS$53,MATCH($AF12,$BD$6:$BD$53,0)))</f>
        <v>P.2 (2)</v>
      </c>
      <c r="V12" s="172"/>
      <c r="W12" s="803"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3</v>
      </c>
      <c r="BG12" s="746">
        <f t="shared" ca="1" si="17"/>
        <v>0</v>
      </c>
      <c r="BH12" s="746">
        <f t="shared" ca="1" si="18"/>
        <v>1</v>
      </c>
      <c r="BI12" s="746">
        <f t="shared" ca="1" si="19"/>
        <v>2</v>
      </c>
      <c r="BJ12" s="746">
        <f t="shared" ca="1" si="20"/>
        <v>2</v>
      </c>
      <c r="BK12" s="746">
        <f t="shared" ca="1" si="21"/>
        <v>10</v>
      </c>
      <c r="BL12" s="746">
        <f t="shared" ca="1" si="27"/>
        <v>-8</v>
      </c>
      <c r="BM12" s="746" t="str">
        <f t="shared" ca="1" si="22"/>
        <v>4B</v>
      </c>
      <c r="BN12" s="746" t="str">
        <f t="shared" ca="1" si="23"/>
        <v>4B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4</v>
      </c>
      <c r="BT12" s="755" t="str">
        <f ca="1">IF(COUNTIFS($BS$6:$BS$53,BS12,$BC$6:$BC$53,INDEX(T_Equipos[Grupo],MATCH(BD12,T_Equipos[NombreEquipo],0)))=1,"-","P."&amp;BS12&amp;" ("&amp;COUNTIFS($BS$6:$BS$53,BS12,$BC$6:$BC$53,INDEX(T_Equipos[Grupo],MATCH(BD12,T_Equipos[NombreEquipo],0)))&amp;")")</f>
        <v>-</v>
      </c>
      <c r="BU12" s="756" t="str">
        <f t="shared" ca="1" si="36"/>
        <v>-</v>
      </c>
      <c r="BV12" s="756" t="str">
        <f t="shared" ca="1" si="37"/>
        <v>-</v>
      </c>
      <c r="BW12" s="756" t="str">
        <f t="shared" ca="1" si="38"/>
        <v>-</v>
      </c>
      <c r="BX12" s="756" t="str">
        <f t="shared" ca="1" si="39"/>
        <v>-</v>
      </c>
      <c r="BY12" s="756">
        <f ca="1">BS12+COUNTIFS($BT$6:$BT$53,BT12,$BX$6:BX$53,"&gt;"&amp;BX12,$BC$6:$BC$53,INDEX(T_Equipos[Grupo],MATCH(BD12,T_Equipos[NombreEquipo],0)))</f>
        <v>4</v>
      </c>
      <c r="BZ12" s="755" t="str">
        <f ca="1">IF(COUNTIFS($BY$6:$BY$53,BY12,$BC$6:$BC$53,INDEX(T_Equipos[Grupo],MATCH(BD12,T_Equipos[NombreEquipo],0)))=1,"-","P."&amp;BY12&amp;" ("&amp;COUNTIFS($BY$6:$BY$53,BY12,$BC$6:$BC$53,INDEX(T_Equipos[Grupo],MATCH(BD12,T_Equipos[NombreEquipo],0)))&amp;")")</f>
        <v>-</v>
      </c>
      <c r="CA12" s="756" t="str">
        <f t="shared" ca="1" si="40"/>
        <v>-</v>
      </c>
      <c r="CB12" s="756" t="str">
        <f t="shared" ca="1" si="41"/>
        <v>-</v>
      </c>
      <c r="CC12" s="756" t="str">
        <f t="shared" ca="1" si="42"/>
        <v>-</v>
      </c>
      <c r="CD12" s="756">
        <f ca="1">BY12+COUNTIFS($BZ$6:$BZ$53,BZ12,$CC$6:CC$53,"&gt;"&amp;CC12,$BC$6:$BC$53,INDEX(T_Equipos[Grupo],MATCH(BD12,T_Equipos[NombreEquipo],0)))</f>
        <v>4</v>
      </c>
      <c r="CE12" s="755" t="str">
        <f ca="1">IF(COUNTIFS($CD$6:$CD$53,CD12,$BC$6:$BC$53,INDEX(T_Equipos[Grupo],MATCH(BD12,T_Equipos[NombreEquipo],0)))=1,"-","P."&amp;CD12&amp;" ("&amp;COUNTIFS($CD$6:$CD$53,CD12,$BC$6:$BC$53,INDEX(T_Equipos[Grupo],MATCH(BD12,T_Equipos[NombreEquipo],0)))&amp;")")</f>
        <v>-</v>
      </c>
      <c r="CF12" s="756" t="str">
        <f t="shared" ca="1" si="43"/>
        <v>-</v>
      </c>
      <c r="CG12" s="756">
        <f ca="1">CD12+COUNTIFS($CE$6:$CE$53,CE12,$CF$6:CF$53,"&gt;"&amp;CF12,$BC$6:$BC$53,INDEX(T_Equipos[Grupo],MATCH(BD12,T_Equipos[NombreEquipo],0)))</f>
        <v>4</v>
      </c>
      <c r="CH12" s="755" t="str">
        <f ca="1">IF(COUNTIFS($CG$6:$CG$53,CG12,$BC$6:$BC$53,INDEX(T_Equipos[Grupo],MATCH(BD12,T_Equipos[NombreEquipo],0)))=1,"-","P."&amp;CG12&amp;" ("&amp;COUNTIFS($CG$6:$CG$53,CG12,$BC$6:$BC$53,INDEX(T_Equipos[Grupo],MATCH(BD12,T_Equipos[NombreEquipo],0)))&amp;")")</f>
        <v>-</v>
      </c>
      <c r="CI12" s="756" t="str">
        <f t="shared" ca="1" si="44"/>
        <v>-</v>
      </c>
      <c r="CJ12" s="756" t="str">
        <f t="shared" ca="1" si="45"/>
        <v>-</v>
      </c>
      <c r="CK12" s="756" t="str">
        <f t="shared" ca="1" si="46"/>
        <v>-</v>
      </c>
      <c r="CL12" s="756" t="str">
        <f t="shared" ca="1" si="47"/>
        <v>-</v>
      </c>
      <c r="CM12" s="756">
        <f ca="1">CG12+COUNTIFS($CH$6:$CH$53,CH12,$CL$6:CL$53,"&gt;"&amp;CL12,$BC$6:$BC$53,INDEX(T_Equipos[Grupo],MATCH(BD12,T_Equipos[NombreEquipo],0)))</f>
        <v>4</v>
      </c>
      <c r="CN12" s="755" t="str">
        <f ca="1">IF(COUNTIFS($CM$6:$CM$53,CM12,$BC$6:$BC$53,INDEX(T_Equipos[Grupo],MATCH(BD12,T_Equipos[NombreEquipo],0)))=1,"-","P."&amp;CM12&amp;" ("&amp;COUNTIFS($CM$6:$CM$53,CM12,$BC$6:$BC$53,INDEX(T_Equipos[Grupo],MATCH(BD12,T_Equipos[NombreEquipo],0)))&amp;")")</f>
        <v>-</v>
      </c>
      <c r="CO12" s="756" t="str">
        <f t="shared" ca="1" si="48"/>
        <v>-</v>
      </c>
      <c r="CP12" s="756" t="str">
        <f t="shared" ca="1" si="49"/>
        <v>-</v>
      </c>
      <c r="CQ12" s="756" t="str">
        <f t="shared" ca="1" si="50"/>
        <v>-</v>
      </c>
      <c r="CR12" s="756">
        <f ca="1">CM12+COUNTIFS($CN$6:$CN$53,CN12,$CQ$6:CQ$53,"&gt;"&amp;CQ12,$BC$6:$BC$53,INDEX(T_Equipos[Grupo],MATCH(BD12,T_Equipos[NombreEquipo],0)))</f>
        <v>4</v>
      </c>
      <c r="CS12" s="755" t="str">
        <f ca="1">IF(COUNTIFS($CR$6:$CR$53,CR12,$BC$6:$BC$53,INDEX(T_Equipos[Grupo],MATCH(BD12,T_Equipos[NombreEquipo],0)))=1,"-","P."&amp;CR12&amp;" ("&amp;COUNTIFS($CR$6:$CR$53,CR12,$BC$6:$BC$53,INDEX(T_Equipos[Grupo],MATCH(BD12,T_Equipos[NombreEquipo],0)))&amp;")")</f>
        <v>-</v>
      </c>
      <c r="CT12" s="756" t="str">
        <f t="shared" ca="1" si="51"/>
        <v>-</v>
      </c>
      <c r="CU12" s="756">
        <f ca="1">CR12+COUNTIFS($CS$6:$CS$53,CS12,$CT$6:CT$53,"&gt;"&amp;CT12,$BC$6:$BC$53,INDEX(T_Equipos[Grupo],MATCH(BD12,T_Equipos[NombreEquipo],0)))</f>
        <v>4</v>
      </c>
      <c r="CV12" s="755" t="str">
        <f ca="1">IF(COUNTIFS($CU$6:$CU$53,CU12,$BC$6:$BC$53,INDEX(T_Equipos[Grupo],MATCH(BD12,T_Equipos[NombreEquipo],0)))=1,"-","P."&amp;CU12&amp;" ("&amp;COUNTIFS($CU$6:$CU$53,CU12,$BC$6:$BC$53,INDEX(T_Equipos[Grupo],MATCH(BD12,T_Equipos[NombreEquipo],0)))&amp;")")</f>
        <v>-</v>
      </c>
      <c r="CW12" s="755" t="str">
        <f t="shared" ca="1" si="30"/>
        <v>-</v>
      </c>
      <c r="CX12" s="755">
        <f ca="1">CU12+COUNTIFS($CV$6:$CV$53,CV12,$CW$6:CW$53,"&gt;"&amp;CW12,$BC$6:$BC$53,INDEX(T_Equipos[Grupo],MATCH(BD12,T_Equipos[NombreEquipo],0)))</f>
        <v>4</v>
      </c>
      <c r="CY12" s="755" t="str">
        <f ca="1">IF(COUNTIFS($CX$6:$CX$53,CX12,$BC$6:$BC$53,INDEX(T_Equipos[Grupo],MATCH(BD12,T_Equipos[NombreEquipo],0)))=1,"-","P."&amp;CX12&amp;" ("&amp;COUNTIFS($CX$6:$CX$53,CX12,$BC$6:$BC$53,INDEX(T_Equipos[Grupo],MATCH(BD12,T_Equipos[NombreEquipo],0)))&amp;")")</f>
        <v>-</v>
      </c>
      <c r="CZ12" s="755" t="str">
        <f t="shared" ca="1" si="31"/>
        <v>-</v>
      </c>
      <c r="DA12" s="756">
        <f ca="1">CX12+COUNTIFS($CY$6:$CY$53,CY12,$CZ$6:CZ$53,"&gt;"&amp;CZ12,$BC$6:$BC$53,INDEX(T_Equipos[Grupo],MATCH(BD12,T_Equipos[NombreEquipo],0)))</f>
        <v>4</v>
      </c>
      <c r="DB12" s="755" t="str">
        <f ca="1">IF(COUNTIFS($DA$6:$DA$53,DA12,$BC$6:$BC$53,INDEX(T_Equipos[Grupo],MATCH(BD12,T_Equipos[NombreEquipo],0)))=1,"-","P."&amp;DA12&amp;" ("&amp;COUNTIFS($DA$6:$DA$53,DA12,$BC$6:$BC$53,INDEX(T_Equipos[Grupo],MATCH(BD12,T_Equipos[NombreEquipo],0)))&amp;")")</f>
        <v>-</v>
      </c>
      <c r="DC12" s="754" t="str">
        <f ca="1">IF(DB12="-","-",COUNTIFS(T_Equipos[Rank],"&lt;"&amp;INDEX(T_Equipos[Rank],MATCH(BD12,T_Equipos[NombreEquipo],0)),$BC$6:$BC$53,INDEX(T_Equipos[Grupo],MATCH(BD12,T_Equipos[NombreEquipo],0)))+1)</f>
        <v>-</v>
      </c>
      <c r="DD12" s="754">
        <f ca="1">DA12+COUNTIFS($DB$6:$DB$53,DB12,$DC$6:DC$53,"&lt;"&amp;DC12,$BC$6:$BC$53,INDEX(T_Equipos[Grupo],MATCH(BD12,T_Equipos[NombreEquipo],0)))</f>
        <v>4</v>
      </c>
      <c r="DE12" s="754"/>
      <c r="DF12" s="754">
        <f t="shared" ca="1" si="52"/>
        <v>4</v>
      </c>
      <c r="DG12" s="754" t="str">
        <f ca="1">IF(DB12="-","-",COUNTIFS(DF$6:DF$53,"&lt;"&amp;DF12,$BC$6:$BC$53,INDEX(T_Equipos[Grupo],MATCH(BD12,T_Equipos[NombreEquipo],0))))</f>
        <v>-</v>
      </c>
      <c r="DH12" s="754">
        <f ca="1">DA12+COUNTIFS(DB$6:DB$53,DB12,DG$6:DG$53,"&lt;"&amp;DG12,$BC$6:$BC$53,INDEX(T_Equipos[Grupo],MATCH(BD12,T_Equipos[NombreEquipo],0)))</f>
        <v>4</v>
      </c>
      <c r="DI12" s="742"/>
      <c r="DJ12" s="742">
        <f t="shared" ca="1" si="53"/>
        <v>3</v>
      </c>
      <c r="DK12" s="742">
        <f t="shared" ca="1" si="24"/>
        <v>12</v>
      </c>
      <c r="DL12" s="742">
        <f t="shared" ca="1" si="33"/>
        <v>1</v>
      </c>
      <c r="DM12" s="736" t="str">
        <f t="shared" ca="1" si="34"/>
        <v>3.1</v>
      </c>
      <c r="DN12" s="742" cm="1">
        <f t="array" aca="1" ref="DN12" ca="1">OFFSET(Horarios!$P$3,DJ12-1,0,DL12,1)</f>
        <v>3</v>
      </c>
      <c r="DO12" s="742"/>
      <c r="DP12" s="742" t="s">
        <v>90</v>
      </c>
      <c r="DQ12" s="742" t="str">
        <f t="shared" ca="1" si="35"/>
        <v>Bosnia y Herzegovina</v>
      </c>
      <c r="DR12" s="742"/>
      <c r="DS12" s="742"/>
      <c r="DT12" s="742" t="str">
        <f t="shared" ca="1" si="15"/>
        <v>Canadá-Bosnia y Herzegovina</v>
      </c>
      <c r="DU12" s="742"/>
      <c r="DV12" s="742"/>
      <c r="DW12" s="8"/>
    </row>
    <row r="13" spans="1:127" ht="16.05" customHeight="1">
      <c r="A13" s="743" t="str">
        <f ca="1">+Equipos!B6</f>
        <v>Canadá</v>
      </c>
      <c r="B13" s="740"/>
      <c r="C13" s="740"/>
      <c r="D13" s="742" t="str">
        <f t="shared" si="54"/>
        <v>Empate</v>
      </c>
      <c r="E13" s="742" t="str">
        <f t="shared" ca="1" si="55"/>
        <v>-</v>
      </c>
      <c r="F13" s="742" t="str">
        <f t="shared" ca="1" si="56"/>
        <v>-</v>
      </c>
      <c r="G13" s="742"/>
      <c r="H13" s="742" t="str">
        <f t="shared" ca="1" si="57"/>
        <v>-</v>
      </c>
      <c r="I13" s="742" t="str">
        <f t="shared" ca="1" si="58"/>
        <v>-</v>
      </c>
      <c r="J13" s="742"/>
      <c r="K13" s="742" t="str">
        <f t="shared" ca="1" si="59"/>
        <v>-</v>
      </c>
      <c r="L13" s="742" t="str">
        <f t="shared" ca="1" si="60"/>
        <v>-</v>
      </c>
      <c r="M13" s="742"/>
      <c r="N13" s="742" t="str">
        <f t="shared" ca="1" si="61"/>
        <v>-</v>
      </c>
      <c r="O13" s="742" t="str">
        <f t="shared" ca="1" si="62"/>
        <v>-</v>
      </c>
      <c r="P13" s="742"/>
      <c r="Q13" s="742" t="str">
        <f t="shared" ca="1" si="63"/>
        <v>-</v>
      </c>
      <c r="R13" s="742" t="str">
        <f t="shared" ca="1" si="64"/>
        <v>-</v>
      </c>
      <c r="S13" s="742"/>
      <c r="T13" s="742" t="str">
        <f t="shared" ca="1" si="65"/>
        <v>-</v>
      </c>
      <c r="U13" s="742" t="str">
        <f t="shared" ca="1" si="66"/>
        <v>-</v>
      </c>
      <c r="V13" s="172"/>
      <c r="W13" s="803"/>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7</v>
      </c>
      <c r="BF13" s="746">
        <f t="shared" ca="1" si="26"/>
        <v>3</v>
      </c>
      <c r="BG13" s="746">
        <f t="shared" ca="1" si="17"/>
        <v>2</v>
      </c>
      <c r="BH13" s="746">
        <f t="shared" ca="1" si="18"/>
        <v>1</v>
      </c>
      <c r="BI13" s="746">
        <f t="shared" ca="1" si="19"/>
        <v>0</v>
      </c>
      <c r="BJ13" s="746">
        <f t="shared" ca="1" si="20"/>
        <v>7</v>
      </c>
      <c r="BK13" s="746">
        <f t="shared" ca="1" si="21"/>
        <v>3</v>
      </c>
      <c r="BL13" s="746">
        <f t="shared" ca="1" si="27"/>
        <v>4</v>
      </c>
      <c r="BM13" s="746" t="str">
        <f t="shared" ca="1" si="22"/>
        <v>1B</v>
      </c>
      <c r="BN13" s="746" t="str">
        <f t="shared" ca="1" si="23"/>
        <v>1B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7</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v>
      </c>
      <c r="BU13" s="756" t="str">
        <f t="shared" ca="1" si="36"/>
        <v>-</v>
      </c>
      <c r="BV13" s="756" t="str">
        <f t="shared" ca="1" si="37"/>
        <v>-</v>
      </c>
      <c r="BW13" s="756" t="str">
        <f t="shared" ca="1" si="38"/>
        <v>-</v>
      </c>
      <c r="BX13" s="756" t="str">
        <f t="shared" ca="1" si="39"/>
        <v>-</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v>
      </c>
      <c r="CA13" s="756" t="str">
        <f t="shared" ca="1" si="40"/>
        <v>-</v>
      </c>
      <c r="CB13" s="756" t="str">
        <f t="shared" ca="1" si="41"/>
        <v>-</v>
      </c>
      <c r="CC13" s="756" t="str">
        <f t="shared" ca="1" si="42"/>
        <v>-</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v>
      </c>
      <c r="CF13" s="756" t="str">
        <f t="shared" ca="1" si="43"/>
        <v>-</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v>
      </c>
      <c r="CI13" s="756" t="str">
        <f t="shared" ca="1" si="44"/>
        <v>-</v>
      </c>
      <c r="CJ13" s="756" t="str">
        <f t="shared" ca="1" si="45"/>
        <v>-</v>
      </c>
      <c r="CK13" s="756" t="str">
        <f t="shared" ca="1" si="46"/>
        <v>-</v>
      </c>
      <c r="CL13" s="756" t="str">
        <f t="shared" ca="1" si="47"/>
        <v>-</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v>
      </c>
      <c r="CO13" s="756" t="str">
        <f t="shared" ca="1" si="48"/>
        <v>-</v>
      </c>
      <c r="CP13" s="756" t="str">
        <f t="shared" ca="1" si="49"/>
        <v>-</v>
      </c>
      <c r="CQ13" s="756" t="str">
        <f t="shared" ca="1" si="50"/>
        <v>-</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v>
      </c>
      <c r="CT13" s="756" t="str">
        <f t="shared" ca="1" si="51"/>
        <v>-</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v>
      </c>
      <c r="CW13" s="755" t="str">
        <f t="shared" ca="1" si="30"/>
        <v>-</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v>
      </c>
      <c r="CZ13" s="755" t="str">
        <f t="shared" ca="1" si="31"/>
        <v>-</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v>
      </c>
      <c r="DC13" s="754" t="str">
        <f ca="1">IF(DB13="-","-",COUNTIFS(T_Equipos[Rank],"&lt;"&amp;INDEX(T_Equipos[Rank],MATCH(BD13,T_Equipos[NombreEquipo],0)),$BC$6:$BC$53,INDEX(T_Equipos[Grupo],MATCH(BD13,T_Equipos[NombreEquipo],0)))+1)</f>
        <v>-</v>
      </c>
      <c r="DD13" s="754">
        <f ca="1">DA13+COUNTIFS($DB$6:$DB$53,DB13,$DC$6:DC$53,"&lt;"&amp;DC13,$BC$6:$BC$53,INDEX(T_Equipos[Grupo],MATCH(BD13,T_Equipos[NombreEquipo],0)))</f>
        <v>1</v>
      </c>
      <c r="DE13" s="754"/>
      <c r="DF13" s="754">
        <f t="shared" ca="1" si="52"/>
        <v>1</v>
      </c>
      <c r="DG13" s="754" t="str">
        <f ca="1">IF(DB13="-","-",COUNTIFS(DF$6:DF$53,"&lt;"&amp;DF13,$BC$6:$BC$53,INDEX(T_Equipos[Grupo],MATCH(BD13,T_Equipos[NombreEquipo],0))))</f>
        <v>-</v>
      </c>
      <c r="DH13" s="754">
        <f ca="1">DA13+COUNTIFS(DB$6:DB$53,DB13,DG$6:DG$53,"&lt;"&amp;DG13,$BC$6:$BC$53,INDEX(T_Equipos[Grupo],MATCH(BD13,T_Equipos[NombreEquipo],0)))</f>
        <v>1</v>
      </c>
      <c r="DI13" s="742"/>
      <c r="DJ13" s="742">
        <f t="shared" ca="1" si="53"/>
        <v>4</v>
      </c>
      <c r="DK13" s="742">
        <f t="shared" ca="1" si="24"/>
        <v>12</v>
      </c>
      <c r="DL13" s="742">
        <f t="shared" ca="1" si="33"/>
        <v>1</v>
      </c>
      <c r="DM13" s="736" t="str">
        <f t="shared" ca="1" si="34"/>
        <v>4.1</v>
      </c>
      <c r="DN13" s="742" cm="1">
        <f t="array" aca="1" ref="DN13" ca="1">OFFSET(Horarios!$P$3,DJ13-1,0,DL13,1)</f>
        <v>4</v>
      </c>
      <c r="DO13" s="742"/>
      <c r="DP13" s="742" t="s">
        <v>650</v>
      </c>
      <c r="DQ13" s="742" t="str">
        <f t="shared" ca="1" si="35"/>
        <v>Catar</v>
      </c>
      <c r="DR13" s="742"/>
      <c r="DS13" s="742"/>
      <c r="DT13" s="742" t="str">
        <f t="shared" ca="1" si="15"/>
        <v>Catar-Suiza</v>
      </c>
      <c r="DU13" s="742"/>
      <c r="DV13" s="742"/>
      <c r="DW13" s="8"/>
    </row>
    <row r="14" spans="1:127" ht="16.95" customHeight="1">
      <c r="A14" s="743" t="str">
        <f ca="1">+Equipos!B7</f>
        <v>Bosnia y Herzegovina</v>
      </c>
      <c r="B14" s="740"/>
      <c r="C14" s="744"/>
      <c r="D14" s="742" t="str">
        <f t="shared" si="54"/>
        <v>Local</v>
      </c>
      <c r="E14" s="742" t="str">
        <f t="shared" ca="1" si="55"/>
        <v>-</v>
      </c>
      <c r="F14" s="742" t="str">
        <f t="shared" ca="1" si="56"/>
        <v>P.2 (2)</v>
      </c>
      <c r="G14" s="742"/>
      <c r="H14" s="742" t="str">
        <f t="shared" ca="1" si="57"/>
        <v>-</v>
      </c>
      <c r="I14" s="742" t="str">
        <f t="shared" ca="1" si="58"/>
        <v>P.2 (2)</v>
      </c>
      <c r="J14" s="742"/>
      <c r="K14" s="742" t="str">
        <f t="shared" ca="1" si="59"/>
        <v>-</v>
      </c>
      <c r="L14" s="742" t="str">
        <f t="shared" ca="1" si="60"/>
        <v>P.2 (2)</v>
      </c>
      <c r="M14" s="742"/>
      <c r="N14" s="742" t="str">
        <f t="shared" ca="1" si="61"/>
        <v>-</v>
      </c>
      <c r="O14" s="742" t="str">
        <f t="shared" ca="1" si="62"/>
        <v>P.2 (2)</v>
      </c>
      <c r="P14" s="742"/>
      <c r="Q14" s="742" t="str">
        <f t="shared" ca="1" si="63"/>
        <v>-</v>
      </c>
      <c r="R14" s="742" t="str">
        <f t="shared" ca="1" si="64"/>
        <v>P.2 (2)</v>
      </c>
      <c r="S14" s="742"/>
      <c r="T14" s="742" t="str">
        <f t="shared" ca="1" si="65"/>
        <v>-</v>
      </c>
      <c r="U14" s="742" t="str">
        <f t="shared" ca="1" si="66"/>
        <v>P.2 (2)</v>
      </c>
      <c r="V14" s="172"/>
      <c r="W14" s="803"/>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2"/>
      <c r="BC14" s="754" t="str">
        <f ca="1">+INDEX(T_Equipos[Grupo],MATCH(WORLDCUP!BD14,T_Equipos[NombreEquipo],0))</f>
        <v>C</v>
      </c>
      <c r="BD14" s="742" t="str">
        <f ca="1">+Equipos!B10</f>
        <v>Brasil</v>
      </c>
      <c r="BE14" s="746">
        <f t="shared" ca="1" si="25"/>
        <v>7</v>
      </c>
      <c r="BF14" s="746">
        <f t="shared" ca="1" si="26"/>
        <v>3</v>
      </c>
      <c r="BG14" s="746">
        <f t="shared" ca="1" si="17"/>
        <v>2</v>
      </c>
      <c r="BH14" s="746">
        <f t="shared" ca="1" si="18"/>
        <v>1</v>
      </c>
      <c r="BI14" s="746">
        <f t="shared" ca="1" si="19"/>
        <v>0</v>
      </c>
      <c r="BJ14" s="746">
        <f t="shared" ca="1" si="20"/>
        <v>7</v>
      </c>
      <c r="BK14" s="746">
        <f t="shared" ca="1" si="21"/>
        <v>1</v>
      </c>
      <c r="BL14" s="746">
        <f t="shared" ca="1" si="27"/>
        <v>6</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7</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(2)</v>
      </c>
      <c r="BU14" s="756">
        <f t="shared" ca="1" si="36"/>
        <v>0</v>
      </c>
      <c r="BV14" s="756">
        <f t="shared" ca="1" si="37"/>
        <v>1</v>
      </c>
      <c r="BW14" s="756">
        <f t="shared" ca="1" si="38"/>
        <v>0</v>
      </c>
      <c r="BX14" s="756">
        <f t="shared" ca="1" si="39"/>
        <v>1</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(2)</v>
      </c>
      <c r="CA14" s="756">
        <f t="shared" ca="1" si="40"/>
        <v>1</v>
      </c>
      <c r="CB14" s="756">
        <f t="shared" ca="1" si="41"/>
        <v>1</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(2)</v>
      </c>
      <c r="CF14" s="756">
        <f t="shared" ca="1" si="43"/>
        <v>1</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(2)</v>
      </c>
      <c r="CI14" s="756">
        <f t="shared" ca="1" si="44"/>
        <v>0</v>
      </c>
      <c r="CJ14" s="756">
        <f t="shared" ca="1" si="45"/>
        <v>1</v>
      </c>
      <c r="CK14" s="756">
        <f t="shared" ca="1" si="46"/>
        <v>0</v>
      </c>
      <c r="CL14" s="756">
        <f t="shared" ca="1" si="47"/>
        <v>1</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(2)</v>
      </c>
      <c r="CO14" s="756">
        <f t="shared" ca="1" si="48"/>
        <v>1</v>
      </c>
      <c r="CP14" s="756">
        <f t="shared" ca="1" si="49"/>
        <v>1</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(2)</v>
      </c>
      <c r="CT14" s="756">
        <f t="shared" ca="1" si="51"/>
        <v>1</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(2)</v>
      </c>
      <c r="CW14" s="755">
        <f t="shared" ca="1" si="30"/>
        <v>6</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v>
      </c>
      <c r="CZ14" s="755" t="str">
        <f t="shared" ca="1" si="31"/>
        <v>-</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v>
      </c>
      <c r="DC14" s="754" t="str">
        <f ca="1">IF(DB14="-","-",COUNTIFS(T_Equipos[Rank],"&lt;"&amp;INDEX(T_Equipos[Rank],MATCH(BD14,T_Equipos[NombreEquipo],0)),$BC$6:$BC$53,INDEX(T_Equipos[Grupo],MATCH(BD14,T_Equipos[NombreEquipo],0)))+1)</f>
        <v>-</v>
      </c>
      <c r="DD14" s="754">
        <f ca="1">DA14+COUNTIFS($DB$6:$DB$53,DB14,$DC$6:DC$53,"&lt;"&amp;DC14,$BC$6:$BC$53,INDEX(T_Equipos[Grupo],MATCH(BD14,T_Equipos[NombreEquipo],0)))</f>
        <v>1</v>
      </c>
      <c r="DE14" s="754"/>
      <c r="DF14" s="754">
        <f t="shared" ca="1" si="52"/>
        <v>1</v>
      </c>
      <c r="DG14" s="754" t="str">
        <f ca="1">IF(DB14="-","-",COUNTIFS(DF$6:DF$53,"&lt;"&amp;DF14,$BC$6:$BC$53,INDEX(T_Equipos[Grupo],MATCH(BD14,T_Equipos[NombreEquipo],0))))</f>
        <v>-</v>
      </c>
      <c r="DH14" s="754">
        <f ca="1">DA14+COUNTIFS(DB$6:DB$53,DB14,DG$6:DG$53,"&lt;"&amp;DG14,$BC$6:$BC$53,INDEX(T_Equipos[Grupo],MATCH(BD14,T_Equipos[NombreEquipo],0)))</f>
        <v>1</v>
      </c>
      <c r="DI14" s="742"/>
      <c r="DJ14" s="742">
        <f t="shared" ca="1" si="53"/>
        <v>1</v>
      </c>
      <c r="DK14" s="742">
        <f t="shared" ca="1" si="24"/>
        <v>12</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Local</v>
      </c>
      <c r="E15" s="742" t="str">
        <f t="shared" ca="1" si="55"/>
        <v>P.2 (2)</v>
      </c>
      <c r="F15" s="742" t="str">
        <f t="shared" ca="1" si="56"/>
        <v>-</v>
      </c>
      <c r="G15" s="742"/>
      <c r="H15" s="742" t="str">
        <f t="shared" ca="1" si="57"/>
        <v>P.2 (2)</v>
      </c>
      <c r="I15" s="742" t="str">
        <f t="shared" ca="1" si="58"/>
        <v>-</v>
      </c>
      <c r="J15" s="742"/>
      <c r="K15" s="742" t="str">
        <f t="shared" ca="1" si="59"/>
        <v>P.2 (2)</v>
      </c>
      <c r="L15" s="742" t="str">
        <f t="shared" ca="1" si="60"/>
        <v>-</v>
      </c>
      <c r="M15" s="742"/>
      <c r="N15" s="742" t="str">
        <f t="shared" ca="1" si="61"/>
        <v>P.2 (2)</v>
      </c>
      <c r="O15" s="742" t="str">
        <f t="shared" ca="1" si="62"/>
        <v>-</v>
      </c>
      <c r="P15" s="742"/>
      <c r="Q15" s="742" t="str">
        <f t="shared" ca="1" si="63"/>
        <v>P.2 (2)</v>
      </c>
      <c r="R15" s="742" t="str">
        <f t="shared" ca="1" si="64"/>
        <v>-</v>
      </c>
      <c r="S15" s="742"/>
      <c r="T15" s="742" t="str">
        <f t="shared" ca="1" si="65"/>
        <v>P.2 (2)</v>
      </c>
      <c r="U15" s="742" t="str">
        <f t="shared" ca="1" si="66"/>
        <v>-</v>
      </c>
      <c r="V15" s="172"/>
      <c r="W15" s="803"/>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7</v>
      </c>
      <c r="BF15" s="746">
        <f t="shared" ca="1" si="26"/>
        <v>3</v>
      </c>
      <c r="BG15" s="746">
        <f t="shared" ca="1" si="17"/>
        <v>2</v>
      </c>
      <c r="BH15" s="746">
        <f t="shared" ca="1" si="18"/>
        <v>1</v>
      </c>
      <c r="BI15" s="746">
        <f t="shared" ca="1" si="19"/>
        <v>0</v>
      </c>
      <c r="BJ15" s="746">
        <f t="shared" ca="1" si="20"/>
        <v>6</v>
      </c>
      <c r="BK15" s="746">
        <f t="shared" ca="1" si="21"/>
        <v>3</v>
      </c>
      <c r="BL15" s="746">
        <f t="shared" ca="1" si="27"/>
        <v>3</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7</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(2)</v>
      </c>
      <c r="BU15" s="756">
        <f t="shared" ca="1" si="36"/>
        <v>0</v>
      </c>
      <c r="BV15" s="756">
        <f t="shared" ca="1" si="37"/>
        <v>1</v>
      </c>
      <c r="BW15" s="756">
        <f t="shared" ca="1" si="38"/>
        <v>0</v>
      </c>
      <c r="BX15" s="756">
        <f t="shared" ca="1" si="39"/>
        <v>1</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(2)</v>
      </c>
      <c r="CA15" s="756">
        <f t="shared" ca="1" si="40"/>
        <v>1</v>
      </c>
      <c r="CB15" s="756">
        <f t="shared" ca="1" si="41"/>
        <v>1</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(2)</v>
      </c>
      <c r="CF15" s="756">
        <f t="shared" ca="1" si="43"/>
        <v>1</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(2)</v>
      </c>
      <c r="CI15" s="756">
        <f t="shared" ca="1" si="44"/>
        <v>0</v>
      </c>
      <c r="CJ15" s="756">
        <f t="shared" ca="1" si="45"/>
        <v>1</v>
      </c>
      <c r="CK15" s="756">
        <f t="shared" ca="1" si="46"/>
        <v>0</v>
      </c>
      <c r="CL15" s="756">
        <f t="shared" ca="1" si="47"/>
        <v>1</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(2)</v>
      </c>
      <c r="CO15" s="756">
        <f t="shared" ca="1" si="48"/>
        <v>1</v>
      </c>
      <c r="CP15" s="756">
        <f t="shared" ca="1" si="49"/>
        <v>1</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(2)</v>
      </c>
      <c r="CT15" s="756">
        <f t="shared" ca="1" si="51"/>
        <v>1</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(2)</v>
      </c>
      <c r="CW15" s="755">
        <f t="shared" ca="1" si="30"/>
        <v>3</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v>
      </c>
      <c r="CZ15" s="755" t="str">
        <f t="shared" ca="1" si="31"/>
        <v>-</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v>
      </c>
      <c r="DC15" s="754" t="str">
        <f ca="1">IF(DB15="-","-",COUNTIFS(T_Equipos[Rank],"&lt;"&amp;INDEX(T_Equipos[Rank],MATCH(BD15,T_Equipos[NombreEquipo],0)),$BC$6:$BC$53,INDEX(T_Equipos[Grupo],MATCH(BD15,T_Equipos[NombreEquipo],0)))+1)</f>
        <v>-</v>
      </c>
      <c r="DD15" s="754">
        <f ca="1">DA15+COUNTIFS($DB$6:$DB$53,DB15,$DC$6:DC$53,"&lt;"&amp;DC15,$BC$6:$BC$53,INDEX(T_Equipos[Grupo],MATCH(BD15,T_Equipos[NombreEquipo],0)))</f>
        <v>2</v>
      </c>
      <c r="DE15" s="754"/>
      <c r="DF15" s="754">
        <f t="shared" ca="1" si="52"/>
        <v>2</v>
      </c>
      <c r="DG15" s="754" t="str">
        <f ca="1">IF(DB15="-","-",COUNTIFS(DF$6:DF$53,"&lt;"&amp;DF15,$BC$6:$BC$53,INDEX(T_Equipos[Grupo],MATCH(BD15,T_Equipos[NombreEquipo],0))))</f>
        <v>-</v>
      </c>
      <c r="DH15" s="754">
        <f ca="1">DA15+COUNTIFS(DB$6:DB$53,DB15,DG$6:DG$53,"&lt;"&amp;DG15,$BC$6:$BC$53,INDEX(T_Equipos[Grupo],MATCH(BD15,T_Equipos[NombreEquipo],0)))</f>
        <v>2</v>
      </c>
      <c r="DI15" s="742"/>
      <c r="DJ15" s="742">
        <f t="shared" ca="1" si="53"/>
        <v>2</v>
      </c>
      <c r="DK15" s="742">
        <f t="shared" ca="1" si="24"/>
        <v>12</v>
      </c>
      <c r="DL15" s="742">
        <f t="shared" ca="1" si="33"/>
        <v>1</v>
      </c>
      <c r="DM15" s="736" t="str">
        <f t="shared" ca="1" si="34"/>
        <v>2.1</v>
      </c>
      <c r="DN15" s="742" cm="1">
        <f t="array" aca="1" ref="DN15" ca="1">OFFSET(Horarios!$P$3,DJ15-1,0,DL15,1)</f>
        <v>2</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Local</v>
      </c>
      <c r="E16" s="742" t="str">
        <f t="shared" ca="1" si="55"/>
        <v>-</v>
      </c>
      <c r="F16" s="742" t="str">
        <f t="shared" ca="1" si="56"/>
        <v>P.2 (2)</v>
      </c>
      <c r="G16" s="742"/>
      <c r="H16" s="742" t="str">
        <f t="shared" ca="1" si="57"/>
        <v>-</v>
      </c>
      <c r="I16" s="742" t="str">
        <f t="shared" ca="1" si="58"/>
        <v>P.2 (2)</v>
      </c>
      <c r="J16" s="742"/>
      <c r="K16" s="742" t="str">
        <f t="shared" ca="1" si="59"/>
        <v>-</v>
      </c>
      <c r="L16" s="742" t="str">
        <f t="shared" ca="1" si="60"/>
        <v>P.2 (2)</v>
      </c>
      <c r="M16" s="742"/>
      <c r="N16" s="742" t="str">
        <f t="shared" ca="1" si="61"/>
        <v>-</v>
      </c>
      <c r="O16" s="742" t="str">
        <f t="shared" ca="1" si="62"/>
        <v>P.2 (2)</v>
      </c>
      <c r="P16" s="742"/>
      <c r="Q16" s="742" t="str">
        <f t="shared" ca="1" si="63"/>
        <v>-</v>
      </c>
      <c r="R16" s="742" t="str">
        <f t="shared" ca="1" si="64"/>
        <v>P.2 (2)</v>
      </c>
      <c r="S16" s="742"/>
      <c r="T16" s="742" t="str">
        <f t="shared" ca="1" si="65"/>
        <v>-</v>
      </c>
      <c r="U16" s="742" t="str">
        <f t="shared" ca="1" si="66"/>
        <v>P.2 (2)</v>
      </c>
      <c r="V16" s="172"/>
      <c r="W16" s="803"/>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3</v>
      </c>
      <c r="BG16" s="746">
        <f t="shared" ca="1" si="17"/>
        <v>0</v>
      </c>
      <c r="BH16" s="746">
        <f t="shared" ca="1" si="18"/>
        <v>0</v>
      </c>
      <c r="BI16" s="746">
        <f t="shared" ca="1" si="19"/>
        <v>3</v>
      </c>
      <c r="BJ16" s="746">
        <f t="shared" ca="1" si="20"/>
        <v>2</v>
      </c>
      <c r="BK16" s="746">
        <f t="shared" ca="1" si="21"/>
        <v>8</v>
      </c>
      <c r="BL16" s="746">
        <f t="shared" ca="1" si="27"/>
        <v>-6</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3</v>
      </c>
      <c r="DK16" s="742">
        <f t="shared" ca="1" si="24"/>
        <v>12</v>
      </c>
      <c r="DL16" s="742">
        <f t="shared" ca="1" si="33"/>
        <v>1</v>
      </c>
      <c r="DM16" s="736" t="str">
        <f t="shared" ca="1" si="34"/>
        <v>3.1</v>
      </c>
      <c r="DN16" s="742" cm="1">
        <f t="array" aca="1" ref="DN16" ca="1">OFFSET(Horarios!$P$3,DJ16-1,0,DL16,1)</f>
        <v>3</v>
      </c>
      <c r="DO16" s="742"/>
      <c r="DP16" s="742" t="s">
        <v>91</v>
      </c>
      <c r="DQ16" s="742" t="str">
        <f t="shared" ca="1" si="35"/>
        <v>Escocia</v>
      </c>
      <c r="DR16" s="742"/>
      <c r="DS16" s="742"/>
      <c r="DT16" s="742" t="str">
        <f t="shared" ca="1" si="15"/>
        <v>Suiza-Canadá</v>
      </c>
      <c r="DU16" s="742"/>
      <c r="DV16" s="742"/>
      <c r="DW16" s="8"/>
    </row>
    <row r="17" spans="1:127" ht="15" thickBot="1">
      <c r="A17" s="737"/>
      <c r="B17" s="740"/>
      <c r="C17" s="737"/>
      <c r="D17" s="742" t="str">
        <f t="shared" si="54"/>
        <v>Local</v>
      </c>
      <c r="E17" s="742" t="str">
        <f t="shared" ca="1" si="55"/>
        <v>P.2 (2)</v>
      </c>
      <c r="F17" s="742" t="str">
        <f t="shared" ca="1" si="56"/>
        <v>-</v>
      </c>
      <c r="G17" s="742"/>
      <c r="H17" s="742" t="str">
        <f t="shared" ca="1" si="57"/>
        <v>P.2 (2)</v>
      </c>
      <c r="I17" s="742" t="str">
        <f t="shared" ca="1" si="58"/>
        <v>-</v>
      </c>
      <c r="J17" s="742"/>
      <c r="K17" s="742" t="str">
        <f t="shared" ca="1" si="59"/>
        <v>P.2 (2)</v>
      </c>
      <c r="L17" s="742" t="str">
        <f t="shared" ca="1" si="60"/>
        <v>-</v>
      </c>
      <c r="M17" s="742"/>
      <c r="N17" s="742" t="str">
        <f t="shared" ca="1" si="61"/>
        <v>P.2 (2)</v>
      </c>
      <c r="O17" s="742" t="str">
        <f t="shared" ca="1" si="62"/>
        <v>-</v>
      </c>
      <c r="P17" s="742"/>
      <c r="Q17" s="742" t="str">
        <f t="shared" ca="1" si="63"/>
        <v>P.2 (2)</v>
      </c>
      <c r="R17" s="742" t="str">
        <f t="shared" ca="1" si="64"/>
        <v>-</v>
      </c>
      <c r="S17" s="742"/>
      <c r="T17" s="742" t="str">
        <f t="shared" ca="1" si="65"/>
        <v>P.2 (2)</v>
      </c>
      <c r="U17" s="742" t="str">
        <f t="shared" ca="1" si="66"/>
        <v>-</v>
      </c>
      <c r="V17" s="172"/>
      <c r="W17" s="804"/>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3</v>
      </c>
      <c r="BG17" s="746">
        <f t="shared" ca="1" si="17"/>
        <v>1</v>
      </c>
      <c r="BH17" s="746">
        <f t="shared" ca="1" si="18"/>
        <v>0</v>
      </c>
      <c r="BI17" s="746">
        <f t="shared" ca="1" si="19"/>
        <v>2</v>
      </c>
      <c r="BJ17" s="746">
        <f t="shared" ca="1" si="20"/>
        <v>1</v>
      </c>
      <c r="BK17" s="746">
        <f t="shared" ca="1" si="21"/>
        <v>4</v>
      </c>
      <c r="BL17" s="746">
        <f t="shared" ca="1" si="27"/>
        <v>-3</v>
      </c>
      <c r="BM17" s="746" t="str">
        <f t="shared" ca="1" si="22"/>
        <v>3C</v>
      </c>
      <c r="BN17" s="746" t="str">
        <f t="shared" ca="1" si="23"/>
        <v>3C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3</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3</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3</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3</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3</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3</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3</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3</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3</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3</v>
      </c>
      <c r="DE17" s="754"/>
      <c r="DF17" s="754">
        <f t="shared" ca="1" si="52"/>
        <v>3</v>
      </c>
      <c r="DG17" s="754" t="str">
        <f ca="1">IF(DB17="-","-",COUNTIFS(DF$6:DF$53,"&lt;"&amp;DF17,$BC$6:$BC$53,INDEX(T_Equipos[Grupo],MATCH(BD17,T_Equipos[NombreEquipo],0))))</f>
        <v>-</v>
      </c>
      <c r="DH17" s="754">
        <f ca="1">DA17+COUNTIFS(DB$6:DB$53,DB17,DG$6:DG$53,"&lt;"&amp;DG17,$BC$6:$BC$53,INDEX(T_Equipos[Grupo],MATCH(BD17,T_Equipos[NombreEquipo],0)))</f>
        <v>3</v>
      </c>
      <c r="DI17" s="742"/>
      <c r="DJ17" s="742">
        <f t="shared" ca="1" si="53"/>
        <v>4</v>
      </c>
      <c r="DK17" s="742">
        <f t="shared" ca="1" si="24"/>
        <v>12</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6</v>
      </c>
      <c r="BF18" s="746">
        <f t="shared" ca="1" si="26"/>
        <v>3</v>
      </c>
      <c r="BG18" s="746">
        <f t="shared" ca="1" si="17"/>
        <v>2</v>
      </c>
      <c r="BH18" s="746">
        <f t="shared" ca="1" si="18"/>
        <v>0</v>
      </c>
      <c r="BI18" s="746">
        <f t="shared" ca="1" si="19"/>
        <v>1</v>
      </c>
      <c r="BJ18" s="746">
        <f t="shared" ca="1" si="20"/>
        <v>8</v>
      </c>
      <c r="BK18" s="746">
        <f t="shared" ca="1" si="21"/>
        <v>4</v>
      </c>
      <c r="BL18" s="746">
        <f t="shared" ca="1" si="27"/>
        <v>4</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6</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v>
      </c>
      <c r="BU18" s="756" t="str">
        <f t="shared" ca="1" si="36"/>
        <v>-</v>
      </c>
      <c r="BV18" s="756" t="str">
        <f t="shared" ca="1" si="37"/>
        <v>-</v>
      </c>
      <c r="BW18" s="756" t="str">
        <f t="shared" ca="1" si="38"/>
        <v>-</v>
      </c>
      <c r="BX18" s="756" t="str">
        <f t="shared" ca="1" si="39"/>
        <v>-</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v>
      </c>
      <c r="CA18" s="756" t="str">
        <f t="shared" ca="1" si="40"/>
        <v>-</v>
      </c>
      <c r="CB18" s="756" t="str">
        <f t="shared" ca="1" si="41"/>
        <v>-</v>
      </c>
      <c r="CC18" s="756" t="str">
        <f t="shared" ca="1" si="42"/>
        <v>-</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v>
      </c>
      <c r="CF18" s="756" t="str">
        <f t="shared" ca="1" si="43"/>
        <v>-</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v>
      </c>
      <c r="CI18" s="756" t="str">
        <f t="shared" ca="1" si="44"/>
        <v>-</v>
      </c>
      <c r="CJ18" s="756" t="str">
        <f t="shared" ca="1" si="45"/>
        <v>-</v>
      </c>
      <c r="CK18" s="756" t="str">
        <f t="shared" ca="1" si="46"/>
        <v>-</v>
      </c>
      <c r="CL18" s="756" t="str">
        <f t="shared" ca="1" si="47"/>
        <v>-</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v>
      </c>
      <c r="CO18" s="756" t="str">
        <f t="shared" ca="1" si="48"/>
        <v>-</v>
      </c>
      <c r="CP18" s="756" t="str">
        <f t="shared" ca="1" si="49"/>
        <v>-</v>
      </c>
      <c r="CQ18" s="756" t="str">
        <f t="shared" ca="1" si="50"/>
        <v>-</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v>
      </c>
      <c r="CT18" s="756" t="str">
        <f t="shared" ca="1" si="51"/>
        <v>-</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v>
      </c>
      <c r="CW18" s="755" t="str">
        <f t="shared" ca="1" si="30"/>
        <v>-</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12</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4</v>
      </c>
      <c r="BF19" s="746">
        <f t="shared" ca="1" si="26"/>
        <v>3</v>
      </c>
      <c r="BG19" s="746">
        <f t="shared" ca="1" si="17"/>
        <v>1</v>
      </c>
      <c r="BH19" s="746">
        <f t="shared" ca="1" si="18"/>
        <v>1</v>
      </c>
      <c r="BI19" s="746">
        <f t="shared" ca="1" si="19"/>
        <v>1</v>
      </c>
      <c r="BJ19" s="746">
        <f t="shared" ca="1" si="20"/>
        <v>2</v>
      </c>
      <c r="BK19" s="746">
        <f t="shared" ca="1" si="21"/>
        <v>4</v>
      </c>
      <c r="BL19" s="746">
        <f t="shared" ca="1" si="27"/>
        <v>-2</v>
      </c>
      <c r="BM19" s="746" t="str">
        <f t="shared" ca="1" si="22"/>
        <v>3D</v>
      </c>
      <c r="BN19" s="746" t="str">
        <f t="shared" ca="1" si="23"/>
        <v>3D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4</v>
      </c>
      <c r="BS19" s="755">
        <f ca="1">BP19+COUNTIFS($BQ$6:$BQ$53,BQ19,$BR$6:BR$53,"&gt;"&amp;BR19,$BC$6:$BC$53,INDEX(T_Equipos[Grupo],MATCH(BD19,T_Equipos[NombreEquipo],0)))</f>
        <v>2</v>
      </c>
      <c r="BT19" s="755" t="str">
        <f ca="1">IF(COUNTIFS($BS$6:$BS$53,BS19,$BC$6:$BC$53,INDEX(T_Equipos[Grupo],MATCH(BD19,T_Equipos[NombreEquipo],0)))=1,"-","P."&amp;BS19&amp;" ("&amp;COUNTIFS($BS$6:$BS$53,BS19,$BC$6:$BC$53,INDEX(T_Equipos[Grupo],MATCH(BD19,T_Equipos[NombreEquipo],0)))&amp;")")</f>
        <v>P.2 (2)</v>
      </c>
      <c r="BU19" s="756">
        <f t="shared" ca="1" si="36"/>
        <v>0</v>
      </c>
      <c r="BV19" s="756">
        <f t="shared" ca="1" si="37"/>
        <v>1</v>
      </c>
      <c r="BW19" s="756">
        <f t="shared" ca="1" si="38"/>
        <v>0</v>
      </c>
      <c r="BX19" s="756">
        <f t="shared" ca="1" si="39"/>
        <v>1</v>
      </c>
      <c r="BY19" s="756">
        <f ca="1">BS19+COUNTIFS($BT$6:$BT$53,BT19,$BX$6:BX$53,"&gt;"&amp;BX19,$BC$6:$BC$53,INDEX(T_Equipos[Grupo],MATCH(BD19,T_Equipos[NombreEquipo],0)))</f>
        <v>2</v>
      </c>
      <c r="BZ19" s="755" t="str">
        <f ca="1">IF(COUNTIFS($BY$6:$BY$53,BY19,$BC$6:$BC$53,INDEX(T_Equipos[Grupo],MATCH(BD19,T_Equipos[NombreEquipo],0)))=1,"-","P."&amp;BY19&amp;" ("&amp;COUNTIFS($BY$6:$BY$53,BY19,$BC$6:$BC$53,INDEX(T_Equipos[Grupo],MATCH(BD19,T_Equipos[NombreEquipo],0)))&amp;")")</f>
        <v>P.2 (2)</v>
      </c>
      <c r="CA19" s="756">
        <f t="shared" ca="1" si="40"/>
        <v>0</v>
      </c>
      <c r="CB19" s="756">
        <f t="shared" ca="1" si="41"/>
        <v>0</v>
      </c>
      <c r="CC19" s="756">
        <f t="shared" ca="1" si="42"/>
        <v>0</v>
      </c>
      <c r="CD19" s="756">
        <f ca="1">BY19+COUNTIFS($BZ$6:$BZ$53,BZ19,$CC$6:CC$53,"&gt;"&amp;CC19,$BC$6:$BC$53,INDEX(T_Equipos[Grupo],MATCH(BD19,T_Equipos[NombreEquipo],0)))</f>
        <v>2</v>
      </c>
      <c r="CE19" s="755" t="str">
        <f ca="1">IF(COUNTIFS($CD$6:$CD$53,CD19,$BC$6:$BC$53,INDEX(T_Equipos[Grupo],MATCH(BD19,T_Equipos[NombreEquipo],0)))=1,"-","P."&amp;CD19&amp;" ("&amp;COUNTIFS($CD$6:$CD$53,CD19,$BC$6:$BC$53,INDEX(T_Equipos[Grupo],MATCH(BD19,T_Equipos[NombreEquipo],0)))&amp;")")</f>
        <v>P.2 (2)</v>
      </c>
      <c r="CF19" s="756">
        <f t="shared" ca="1" si="43"/>
        <v>0</v>
      </c>
      <c r="CG19" s="756">
        <f ca="1">CD19+COUNTIFS($CE$6:$CE$53,CE19,$CF$6:CF$53,"&gt;"&amp;CF19,$BC$6:$BC$53,INDEX(T_Equipos[Grupo],MATCH(BD19,T_Equipos[NombreEquipo],0)))</f>
        <v>2</v>
      </c>
      <c r="CH19" s="755" t="str">
        <f ca="1">IF(COUNTIFS($CG$6:$CG$53,CG19,$BC$6:$BC$53,INDEX(T_Equipos[Grupo],MATCH(BD19,T_Equipos[NombreEquipo],0)))=1,"-","P."&amp;CG19&amp;" ("&amp;COUNTIFS($CG$6:$CG$53,CG19,$BC$6:$BC$53,INDEX(T_Equipos[Grupo],MATCH(BD19,T_Equipos[NombreEquipo],0)))&amp;")")</f>
        <v>P.2 (2)</v>
      </c>
      <c r="CI19" s="756">
        <f t="shared" ca="1" si="44"/>
        <v>0</v>
      </c>
      <c r="CJ19" s="756">
        <f t="shared" ca="1" si="45"/>
        <v>1</v>
      </c>
      <c r="CK19" s="756">
        <f t="shared" ca="1" si="46"/>
        <v>0</v>
      </c>
      <c r="CL19" s="756">
        <f t="shared" ca="1" si="47"/>
        <v>1</v>
      </c>
      <c r="CM19" s="756">
        <f ca="1">CG19+COUNTIFS($CH$6:$CH$53,CH19,$CL$6:CL$53,"&gt;"&amp;CL19,$BC$6:$BC$53,INDEX(T_Equipos[Grupo],MATCH(BD19,T_Equipos[NombreEquipo],0)))</f>
        <v>2</v>
      </c>
      <c r="CN19" s="755" t="str">
        <f ca="1">IF(COUNTIFS($CM$6:$CM$53,CM19,$BC$6:$BC$53,INDEX(T_Equipos[Grupo],MATCH(BD19,T_Equipos[NombreEquipo],0)))=1,"-","P."&amp;CM19&amp;" ("&amp;COUNTIFS($CM$6:$CM$53,CM19,$BC$6:$BC$53,INDEX(T_Equipos[Grupo],MATCH(BD19,T_Equipos[NombreEquipo],0)))&amp;")")</f>
        <v>P.2 (2)</v>
      </c>
      <c r="CO19" s="756">
        <f t="shared" ca="1" si="48"/>
        <v>0</v>
      </c>
      <c r="CP19" s="756">
        <f t="shared" ca="1" si="49"/>
        <v>0</v>
      </c>
      <c r="CQ19" s="756">
        <f t="shared" ca="1" si="50"/>
        <v>0</v>
      </c>
      <c r="CR19" s="756">
        <f ca="1">CM19+COUNTIFS($CN$6:$CN$53,CN19,$CQ$6:CQ$53,"&gt;"&amp;CQ19,$BC$6:$BC$53,INDEX(T_Equipos[Grupo],MATCH(BD19,T_Equipos[NombreEquipo],0)))</f>
        <v>2</v>
      </c>
      <c r="CS19" s="755" t="str">
        <f ca="1">IF(COUNTIFS($CR$6:$CR$53,CR19,$BC$6:$BC$53,INDEX(T_Equipos[Grupo],MATCH(BD19,T_Equipos[NombreEquipo],0)))=1,"-","P."&amp;CR19&amp;" ("&amp;COUNTIFS($CR$6:$CR$53,CR19,$BC$6:$BC$53,INDEX(T_Equipos[Grupo],MATCH(BD19,T_Equipos[NombreEquipo],0)))&amp;")")</f>
        <v>P.2 (2)</v>
      </c>
      <c r="CT19" s="756">
        <f t="shared" ca="1" si="51"/>
        <v>0</v>
      </c>
      <c r="CU19" s="756">
        <f ca="1">CR19+COUNTIFS($CS$6:$CS$53,CS19,$CT$6:CT$53,"&gt;"&amp;CT19,$BC$6:$BC$53,INDEX(T_Equipos[Grupo],MATCH(BD19,T_Equipos[NombreEquipo],0)))</f>
        <v>2</v>
      </c>
      <c r="CV19" s="755" t="str">
        <f ca="1">IF(COUNTIFS($CU$6:$CU$53,CU19,$BC$6:$BC$53,INDEX(T_Equipos[Grupo],MATCH(BD19,T_Equipos[NombreEquipo],0)))=1,"-","P."&amp;CU19&amp;" ("&amp;COUNTIFS($CU$6:$CU$53,CU19,$BC$6:$BC$53,INDEX(T_Equipos[Grupo],MATCH(BD19,T_Equipos[NombreEquipo],0)))&amp;")")</f>
        <v>P.2 (2)</v>
      </c>
      <c r="CW19" s="755">
        <f t="shared" ca="1" si="30"/>
        <v>-2</v>
      </c>
      <c r="CX19" s="755">
        <f ca="1">CU19+COUNTIFS($CV$6:$CV$53,CV19,$CW$6:CW$53,"&gt;"&amp;CW19,$BC$6:$BC$53,INDEX(T_Equipos[Grupo],MATCH(BD19,T_Equipos[NombreEquipo],0)))</f>
        <v>3</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3</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3</v>
      </c>
      <c r="DE19" s="754"/>
      <c r="DF19" s="754">
        <f t="shared" ca="1" si="52"/>
        <v>3</v>
      </c>
      <c r="DG19" s="754" t="str">
        <f ca="1">IF(DB19="-","-",COUNTIFS(DF$6:DF$53,"&lt;"&amp;DF19,$BC$6:$BC$53,INDEX(T_Equipos[Grupo],MATCH(BD19,T_Equipos[NombreEquipo],0))))</f>
        <v>-</v>
      </c>
      <c r="DH19" s="754">
        <f ca="1">DA19+COUNTIFS(DB$6:DB$53,DB19,DG$6:DG$53,"&lt;"&amp;DG19,$BC$6:$BC$53,INDEX(T_Equipos[Grupo],MATCH(BD19,T_Equipos[NombreEquipo],0)))</f>
        <v>3</v>
      </c>
      <c r="DI19" s="742"/>
      <c r="DJ19" s="742">
        <f t="shared" ca="1" si="53"/>
        <v>2</v>
      </c>
      <c r="DK19" s="742">
        <f t="shared" ca="1" si="24"/>
        <v>12</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P.1 (2)</v>
      </c>
      <c r="F20" s="742" t="str">
        <f t="shared" ref="F20:F25" ca="1" si="75">IF(D20="Pendiente","-",INDEX($BT$6:$BT$53,MATCH($AF20,$BD$6:$BD$53,0)))</f>
        <v>P.1 (2)</v>
      </c>
      <c r="G20" s="742"/>
      <c r="H20" s="742" t="str">
        <f t="shared" ref="H20:H25" ca="1" si="76">IF(D20="Pendiente","-",INDEX($BZ$6:$BZ$53,MATCH($AA20,$BD$6:$BD$53,0)))</f>
        <v>P.1 (2)</v>
      </c>
      <c r="I20" s="742" t="str">
        <f t="shared" ref="I20:I25" ca="1" si="77">IF(D20="Pendiente","-",INDEX($BZ$6:$BZ$53,MATCH($AF20,$BD$6:$BD$53,0)))</f>
        <v>P.1 (2)</v>
      </c>
      <c r="J20" s="742"/>
      <c r="K20" s="742" t="str">
        <f t="shared" ref="K20:K25" ca="1" si="78">IF(D20="Pendiente","-",INDEX($CE$6:$CE$53,MATCH($AA20,$BD$6:$BD$53,0)))</f>
        <v>P.1 (2)</v>
      </c>
      <c r="L20" s="742" t="str">
        <f t="shared" ref="L20:L25" ca="1" si="79">IF(D20="Pendiente","-",INDEX($CE$6:$CE$53,MATCH($AF20,$BD$6:$BD$53,0)))</f>
        <v>P.1 (2)</v>
      </c>
      <c r="M20" s="742"/>
      <c r="N20" s="742" t="str">
        <f t="shared" ref="N20:N25" ca="1" si="80">IF(D20="Pendiente","-",INDEX($CH$6:$CH$53,MATCH($AA20,$BD$6:$BD$53,0)))</f>
        <v>P.1 (2)</v>
      </c>
      <c r="O20" s="742" t="str">
        <f t="shared" ref="O20:O25" ca="1" si="81">IF(D20="Pendiente","-",INDEX($CH$6:$CH$53,MATCH($AF20,$BD$6:$BD$53,0)))</f>
        <v>P.1 (2)</v>
      </c>
      <c r="P20" s="742"/>
      <c r="Q20" s="742" t="str">
        <f t="shared" ref="Q20:Q25" ca="1" si="82">IF(D20="Pendiente","-",INDEX($CN$6:$CN$53,MATCH($AA20,$BD$6:$BD$53,0)))</f>
        <v>P.1 (2)</v>
      </c>
      <c r="R20" s="742" t="str">
        <f t="shared" ref="R20:R25" ca="1" si="83">IF(D20="Pendiente","-",INDEX($CN$6:$CN$53,MATCH($AF20,$BD$6:$BD$53,0)))</f>
        <v>P.1 (2)</v>
      </c>
      <c r="S20" s="742"/>
      <c r="T20" s="742" t="str">
        <f t="shared" ref="T20:T25" ca="1" si="84">IF(D20="Pendiente","-",INDEX($CS$6:$CS$53,MATCH($AA20,$BD$6:$BD$53,0)))</f>
        <v>P.1 (2)</v>
      </c>
      <c r="U20" s="742" t="str">
        <f t="shared" ref="U20:U25" ca="1" si="85">IF(D20="Pendiente","-",INDEX($CS$6:$CS$53,MATCH($AF20,$BD$6:$BD$53,0)))</f>
        <v>P.1 (2)</v>
      </c>
      <c r="V20" s="172"/>
      <c r="W20" s="812"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4</v>
      </c>
      <c r="BF20" s="746">
        <f t="shared" ca="1" si="26"/>
        <v>3</v>
      </c>
      <c r="BG20" s="746">
        <f t="shared" ca="1" si="17"/>
        <v>1</v>
      </c>
      <c r="BH20" s="746">
        <f t="shared" ca="1" si="18"/>
        <v>1</v>
      </c>
      <c r="BI20" s="746">
        <f t="shared" ca="1" si="19"/>
        <v>1</v>
      </c>
      <c r="BJ20" s="746">
        <f t="shared" ca="1" si="20"/>
        <v>2</v>
      </c>
      <c r="BK20" s="746">
        <f t="shared" ca="1" si="21"/>
        <v>2</v>
      </c>
      <c r="BL20" s="746">
        <f t="shared" ca="1" si="27"/>
        <v>0</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4</v>
      </c>
      <c r="BS20" s="755">
        <f ca="1">BP20+COUNTIFS($BQ$6:$BQ$53,BQ20,$BR$6:BR$53,"&gt;"&amp;BR20,$BC$6:$BC$53,INDEX(T_Equipos[Grupo],MATCH(BD20,T_Equipos[NombreEquipo],0)))</f>
        <v>2</v>
      </c>
      <c r="BT20" s="755" t="str">
        <f ca="1">IF(COUNTIFS($BS$6:$BS$53,BS20,$BC$6:$BC$53,INDEX(T_Equipos[Grupo],MATCH(BD20,T_Equipos[NombreEquipo],0)))=1,"-","P."&amp;BS20&amp;" ("&amp;COUNTIFS($BS$6:$BS$53,BS20,$BC$6:$BC$53,INDEX(T_Equipos[Grupo],MATCH(BD20,T_Equipos[NombreEquipo],0)))&amp;")")</f>
        <v>P.2 (2)</v>
      </c>
      <c r="BU20" s="756">
        <f t="shared" ca="1" si="36"/>
        <v>0</v>
      </c>
      <c r="BV20" s="756">
        <f t="shared" ca="1" si="37"/>
        <v>1</v>
      </c>
      <c r="BW20" s="756">
        <f t="shared" ca="1" si="38"/>
        <v>0</v>
      </c>
      <c r="BX20" s="756">
        <f t="shared" ca="1" si="39"/>
        <v>1</v>
      </c>
      <c r="BY20" s="756">
        <f ca="1">BS20+COUNTIFS($BT$6:$BT$53,BT20,$BX$6:BX$53,"&gt;"&amp;BX20,$BC$6:$BC$53,INDEX(T_Equipos[Grupo],MATCH(BD20,T_Equipos[NombreEquipo],0)))</f>
        <v>2</v>
      </c>
      <c r="BZ20" s="755" t="str">
        <f ca="1">IF(COUNTIFS($BY$6:$BY$53,BY20,$BC$6:$BC$53,INDEX(T_Equipos[Grupo],MATCH(BD20,T_Equipos[NombreEquipo],0)))=1,"-","P."&amp;BY20&amp;" ("&amp;COUNTIFS($BY$6:$BY$53,BY20,$BC$6:$BC$53,INDEX(T_Equipos[Grupo],MATCH(BD20,T_Equipos[NombreEquipo],0)))&amp;")")</f>
        <v>P.2 (2)</v>
      </c>
      <c r="CA20" s="756">
        <f t="shared" ca="1" si="40"/>
        <v>0</v>
      </c>
      <c r="CB20" s="756">
        <f t="shared" ca="1" si="41"/>
        <v>0</v>
      </c>
      <c r="CC20" s="756">
        <f t="shared" ca="1" si="42"/>
        <v>0</v>
      </c>
      <c r="CD20" s="756">
        <f ca="1">BY20+COUNTIFS($BZ$6:$BZ$53,BZ20,$CC$6:CC$53,"&gt;"&amp;CC20,$BC$6:$BC$53,INDEX(T_Equipos[Grupo],MATCH(BD20,T_Equipos[NombreEquipo],0)))</f>
        <v>2</v>
      </c>
      <c r="CE20" s="755" t="str">
        <f ca="1">IF(COUNTIFS($CD$6:$CD$53,CD20,$BC$6:$BC$53,INDEX(T_Equipos[Grupo],MATCH(BD20,T_Equipos[NombreEquipo],0)))=1,"-","P."&amp;CD20&amp;" ("&amp;COUNTIFS($CD$6:$CD$53,CD20,$BC$6:$BC$53,INDEX(T_Equipos[Grupo],MATCH(BD20,T_Equipos[NombreEquipo],0)))&amp;")")</f>
        <v>P.2 (2)</v>
      </c>
      <c r="CF20" s="756">
        <f t="shared" ca="1" si="43"/>
        <v>0</v>
      </c>
      <c r="CG20" s="756">
        <f ca="1">CD20+COUNTIFS($CE$6:$CE$53,CE20,$CF$6:CF$53,"&gt;"&amp;CF20,$BC$6:$BC$53,INDEX(T_Equipos[Grupo],MATCH(BD20,T_Equipos[NombreEquipo],0)))</f>
        <v>2</v>
      </c>
      <c r="CH20" s="755" t="str">
        <f ca="1">IF(COUNTIFS($CG$6:$CG$53,CG20,$BC$6:$BC$53,INDEX(T_Equipos[Grupo],MATCH(BD20,T_Equipos[NombreEquipo],0)))=1,"-","P."&amp;CG20&amp;" ("&amp;COUNTIFS($CG$6:$CG$53,CG20,$BC$6:$BC$53,INDEX(T_Equipos[Grupo],MATCH(BD20,T_Equipos[NombreEquipo],0)))&amp;")")</f>
        <v>P.2 (2)</v>
      </c>
      <c r="CI20" s="756">
        <f t="shared" ca="1" si="44"/>
        <v>0</v>
      </c>
      <c r="CJ20" s="756">
        <f t="shared" ca="1" si="45"/>
        <v>1</v>
      </c>
      <c r="CK20" s="756">
        <f t="shared" ca="1" si="46"/>
        <v>0</v>
      </c>
      <c r="CL20" s="756">
        <f t="shared" ca="1" si="47"/>
        <v>1</v>
      </c>
      <c r="CM20" s="756">
        <f ca="1">CG20+COUNTIFS($CH$6:$CH$53,CH20,$CL$6:CL$53,"&gt;"&amp;CL20,$BC$6:$BC$53,INDEX(T_Equipos[Grupo],MATCH(BD20,T_Equipos[NombreEquipo],0)))</f>
        <v>2</v>
      </c>
      <c r="CN20" s="755" t="str">
        <f ca="1">IF(COUNTIFS($CM$6:$CM$53,CM20,$BC$6:$BC$53,INDEX(T_Equipos[Grupo],MATCH(BD20,T_Equipos[NombreEquipo],0)))=1,"-","P."&amp;CM20&amp;" ("&amp;COUNTIFS($CM$6:$CM$53,CM20,$BC$6:$BC$53,INDEX(T_Equipos[Grupo],MATCH(BD20,T_Equipos[NombreEquipo],0)))&amp;")")</f>
        <v>P.2 (2)</v>
      </c>
      <c r="CO20" s="756">
        <f t="shared" ca="1" si="48"/>
        <v>0</v>
      </c>
      <c r="CP20" s="756">
        <f t="shared" ca="1" si="49"/>
        <v>0</v>
      </c>
      <c r="CQ20" s="756">
        <f t="shared" ca="1" si="50"/>
        <v>0</v>
      </c>
      <c r="CR20" s="756">
        <f ca="1">CM20+COUNTIFS($CN$6:$CN$53,CN20,$CQ$6:CQ$53,"&gt;"&amp;CQ20,$BC$6:$BC$53,INDEX(T_Equipos[Grupo],MATCH(BD20,T_Equipos[NombreEquipo],0)))</f>
        <v>2</v>
      </c>
      <c r="CS20" s="755" t="str">
        <f ca="1">IF(COUNTIFS($CR$6:$CR$53,CR20,$BC$6:$BC$53,INDEX(T_Equipos[Grupo],MATCH(BD20,T_Equipos[NombreEquipo],0)))=1,"-","P."&amp;CR20&amp;" ("&amp;COUNTIFS($CR$6:$CR$53,CR20,$BC$6:$BC$53,INDEX(T_Equipos[Grupo],MATCH(BD20,T_Equipos[NombreEquipo],0)))&amp;")")</f>
        <v>P.2 (2)</v>
      </c>
      <c r="CT20" s="756">
        <f t="shared" ca="1" si="51"/>
        <v>0</v>
      </c>
      <c r="CU20" s="756">
        <f ca="1">CR20+COUNTIFS($CS$6:$CS$53,CS20,$CT$6:CT$53,"&gt;"&amp;CT20,$BC$6:$BC$53,INDEX(T_Equipos[Grupo],MATCH(BD20,T_Equipos[NombreEquipo],0)))</f>
        <v>2</v>
      </c>
      <c r="CV20" s="755" t="str">
        <f ca="1">IF(COUNTIFS($CU$6:$CU$53,CU20,$BC$6:$BC$53,INDEX(T_Equipos[Grupo],MATCH(BD20,T_Equipos[NombreEquipo],0)))=1,"-","P."&amp;CU20&amp;" ("&amp;COUNTIFS($CU$6:$CU$53,CU20,$BC$6:$BC$53,INDEX(T_Equipos[Grupo],MATCH(BD20,T_Equipos[NombreEquipo],0)))&amp;")")</f>
        <v>P.2 (2)</v>
      </c>
      <c r="CW20" s="755">
        <f t="shared" ca="1" si="30"/>
        <v>0</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12</v>
      </c>
      <c r="DL20" s="742">
        <f t="shared" ca="1" si="33"/>
        <v>1</v>
      </c>
      <c r="DM20" s="736" t="str">
        <f t="shared" ca="1" si="34"/>
        <v>3.1</v>
      </c>
      <c r="DN20" s="742" cm="1">
        <f t="array" aca="1" ref="DN20" ca="1">OFFSET(Horarios!$P$3,DJ20-1,0,DL20,1)</f>
        <v>3</v>
      </c>
      <c r="DO20" s="742"/>
      <c r="DP20" s="742" t="s">
        <v>92</v>
      </c>
      <c r="DQ20" s="742" t="str">
        <f t="shared" ca="1" si="35"/>
        <v>Paraguay</v>
      </c>
      <c r="DR20" s="742"/>
      <c r="DS20" s="742"/>
      <c r="DT20" s="742" t="str">
        <f t="shared" ca="1" si="15"/>
        <v>Brasil-Marruecos</v>
      </c>
      <c r="DU20" s="742"/>
      <c r="DV20" s="742"/>
      <c r="DW20" s="8"/>
    </row>
    <row r="21" spans="1:127" ht="16.0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12"/>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3</v>
      </c>
      <c r="BF21" s="746">
        <f t="shared" ca="1" si="26"/>
        <v>3</v>
      </c>
      <c r="BG21" s="746">
        <f t="shared" ca="1" si="17"/>
        <v>1</v>
      </c>
      <c r="BH21" s="746">
        <f t="shared" ca="1" si="18"/>
        <v>0</v>
      </c>
      <c r="BI21" s="746">
        <f t="shared" ca="1" si="19"/>
        <v>2</v>
      </c>
      <c r="BJ21" s="746">
        <f t="shared" ca="1" si="20"/>
        <v>3</v>
      </c>
      <c r="BK21" s="746">
        <f t="shared" ca="1" si="21"/>
        <v>5</v>
      </c>
      <c r="BL21" s="746">
        <f t="shared" ca="1" si="27"/>
        <v>-2</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3</v>
      </c>
      <c r="BS21" s="755">
        <f ca="1">BP21+COUNTIFS($BQ$6:$BQ$53,BQ21,$BR$6:BR$53,"&gt;"&amp;BR21,$BC$6:$BC$53,INDEX(T_Equipos[Grupo],MATCH(BD21,T_Equipos[NombreEquipo],0)))</f>
        <v>4</v>
      </c>
      <c r="BT21" s="755" t="str">
        <f ca="1">IF(COUNTIFS($BS$6:$BS$53,BS21,$BC$6:$BC$53,INDEX(T_Equipos[Grupo],MATCH(BD21,T_Equipos[NombreEquipo],0)))=1,"-","P."&amp;BS21&amp;" ("&amp;COUNTIFS($BS$6:$BS$53,BS21,$BC$6:$BC$53,INDEX(T_Equipos[Grupo],MATCH(BD21,T_Equipos[NombreEquipo],0)))&amp;")")</f>
        <v>-</v>
      </c>
      <c r="BU21" s="756" t="str">
        <f t="shared" ca="1" si="36"/>
        <v>-</v>
      </c>
      <c r="BV21" s="756" t="str">
        <f t="shared" ca="1" si="37"/>
        <v>-</v>
      </c>
      <c r="BW21" s="756" t="str">
        <f t="shared" ca="1" si="38"/>
        <v>-</v>
      </c>
      <c r="BX21" s="756" t="str">
        <f t="shared" ca="1" si="39"/>
        <v>-</v>
      </c>
      <c r="BY21" s="756">
        <f ca="1">BS21+COUNTIFS($BT$6:$BT$53,BT21,$BX$6:BX$53,"&gt;"&amp;BX21,$BC$6:$BC$53,INDEX(T_Equipos[Grupo],MATCH(BD21,T_Equipos[NombreEquipo],0)))</f>
        <v>4</v>
      </c>
      <c r="BZ21" s="755" t="str">
        <f ca="1">IF(COUNTIFS($BY$6:$BY$53,BY21,$BC$6:$BC$53,INDEX(T_Equipos[Grupo],MATCH(BD21,T_Equipos[NombreEquipo],0)))=1,"-","P."&amp;BY21&amp;" ("&amp;COUNTIFS($BY$6:$BY$53,BY21,$BC$6:$BC$53,INDEX(T_Equipos[Grupo],MATCH(BD21,T_Equipos[NombreEquipo],0)))&amp;")")</f>
        <v>-</v>
      </c>
      <c r="CA21" s="756" t="str">
        <f t="shared" ca="1" si="40"/>
        <v>-</v>
      </c>
      <c r="CB21" s="756" t="str">
        <f t="shared" ca="1" si="41"/>
        <v>-</v>
      </c>
      <c r="CC21" s="756" t="str">
        <f t="shared" ca="1" si="42"/>
        <v>-</v>
      </c>
      <c r="CD21" s="756">
        <f ca="1">BY21+COUNTIFS($BZ$6:$BZ$53,BZ21,$CC$6:CC$53,"&gt;"&amp;CC21,$BC$6:$BC$53,INDEX(T_Equipos[Grupo],MATCH(BD21,T_Equipos[NombreEquipo],0)))</f>
        <v>4</v>
      </c>
      <c r="CE21" s="755" t="str">
        <f ca="1">IF(COUNTIFS($CD$6:$CD$53,CD21,$BC$6:$BC$53,INDEX(T_Equipos[Grupo],MATCH(BD21,T_Equipos[NombreEquipo],0)))=1,"-","P."&amp;CD21&amp;" ("&amp;COUNTIFS($CD$6:$CD$53,CD21,$BC$6:$BC$53,INDEX(T_Equipos[Grupo],MATCH(BD21,T_Equipos[NombreEquipo],0)))&amp;")")</f>
        <v>-</v>
      </c>
      <c r="CF21" s="756" t="str">
        <f t="shared" ca="1" si="43"/>
        <v>-</v>
      </c>
      <c r="CG21" s="756">
        <f ca="1">CD21+COUNTIFS($CE$6:$CE$53,CE21,$CF$6:CF$53,"&gt;"&amp;CF21,$BC$6:$BC$53,INDEX(T_Equipos[Grupo],MATCH(BD21,T_Equipos[NombreEquipo],0)))</f>
        <v>4</v>
      </c>
      <c r="CH21" s="755" t="str">
        <f ca="1">IF(COUNTIFS($CG$6:$CG$53,CG21,$BC$6:$BC$53,INDEX(T_Equipos[Grupo],MATCH(BD21,T_Equipos[NombreEquipo],0)))=1,"-","P."&amp;CG21&amp;" ("&amp;COUNTIFS($CG$6:$CG$53,CG21,$BC$6:$BC$53,INDEX(T_Equipos[Grupo],MATCH(BD21,T_Equipos[NombreEquipo],0)))&amp;")")</f>
        <v>-</v>
      </c>
      <c r="CI21" s="756" t="str">
        <f t="shared" ca="1" si="44"/>
        <v>-</v>
      </c>
      <c r="CJ21" s="756" t="str">
        <f t="shared" ca="1" si="45"/>
        <v>-</v>
      </c>
      <c r="CK21" s="756" t="str">
        <f t="shared" ca="1" si="46"/>
        <v>-</v>
      </c>
      <c r="CL21" s="756" t="str">
        <f t="shared" ca="1" si="47"/>
        <v>-</v>
      </c>
      <c r="CM21" s="756">
        <f ca="1">CG21+COUNTIFS($CH$6:$CH$53,CH21,$CL$6:CL$53,"&gt;"&amp;CL21,$BC$6:$BC$53,INDEX(T_Equipos[Grupo],MATCH(BD21,T_Equipos[NombreEquipo],0)))</f>
        <v>4</v>
      </c>
      <c r="CN21" s="755" t="str">
        <f ca="1">IF(COUNTIFS($CM$6:$CM$53,CM21,$BC$6:$BC$53,INDEX(T_Equipos[Grupo],MATCH(BD21,T_Equipos[NombreEquipo],0)))=1,"-","P."&amp;CM21&amp;" ("&amp;COUNTIFS($CM$6:$CM$53,CM21,$BC$6:$BC$53,INDEX(T_Equipos[Grupo],MATCH(BD21,T_Equipos[NombreEquipo],0)))&amp;")")</f>
        <v>-</v>
      </c>
      <c r="CO21" s="756" t="str">
        <f t="shared" ca="1" si="48"/>
        <v>-</v>
      </c>
      <c r="CP21" s="756" t="str">
        <f t="shared" ca="1" si="49"/>
        <v>-</v>
      </c>
      <c r="CQ21" s="756" t="str">
        <f t="shared" ca="1" si="50"/>
        <v>-</v>
      </c>
      <c r="CR21" s="756">
        <f ca="1">CM21+COUNTIFS($CN$6:$CN$53,CN21,$CQ$6:CQ$53,"&gt;"&amp;CQ21,$BC$6:$BC$53,INDEX(T_Equipos[Grupo],MATCH(BD21,T_Equipos[NombreEquipo],0)))</f>
        <v>4</v>
      </c>
      <c r="CS21" s="755" t="str">
        <f ca="1">IF(COUNTIFS($CR$6:$CR$53,CR21,$BC$6:$BC$53,INDEX(T_Equipos[Grupo],MATCH(BD21,T_Equipos[NombreEquipo],0)))=1,"-","P."&amp;CR21&amp;" ("&amp;COUNTIFS($CR$6:$CR$53,CR21,$BC$6:$BC$53,INDEX(T_Equipos[Grupo],MATCH(BD21,T_Equipos[NombreEquipo],0)))&amp;")")</f>
        <v>-</v>
      </c>
      <c r="CT21" s="756" t="str">
        <f t="shared" ca="1" si="51"/>
        <v>-</v>
      </c>
      <c r="CU21" s="756">
        <f ca="1">CR21+COUNTIFS($CS$6:$CS$53,CS21,$CT$6:CT$53,"&gt;"&amp;CT21,$BC$6:$BC$53,INDEX(T_Equipos[Grupo],MATCH(BD21,T_Equipos[NombreEquipo],0)))</f>
        <v>4</v>
      </c>
      <c r="CV21" s="755" t="str">
        <f ca="1">IF(COUNTIFS($CU$6:$CU$53,CU21,$BC$6:$BC$53,INDEX(T_Equipos[Grupo],MATCH(BD21,T_Equipos[NombreEquipo],0)))=1,"-","P."&amp;CU21&amp;" ("&amp;COUNTIFS($CU$6:$CU$53,CU21,$BC$6:$BC$53,INDEX(T_Equipos[Grupo],MATCH(BD21,T_Equipos[NombreEquipo],0)))&amp;")")</f>
        <v>-</v>
      </c>
      <c r="CW21" s="755" t="str">
        <f t="shared" ca="1" si="30"/>
        <v>-</v>
      </c>
      <c r="CX21" s="755">
        <f ca="1">CU21+COUNTIFS($CV$6:$CV$53,CV21,$CW$6:CW$53,"&gt;"&amp;CW21,$BC$6:$BC$53,INDEX(T_Equipos[Grupo],MATCH(BD21,T_Equipos[NombreEquipo],0)))</f>
        <v>4</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4</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4</v>
      </c>
      <c r="DE21" s="754"/>
      <c r="DF21" s="754">
        <f t="shared" ca="1" si="52"/>
        <v>4</v>
      </c>
      <c r="DG21" s="754" t="str">
        <f ca="1">IF(DB21="-","-",COUNTIFS(DF$6:DF$53,"&lt;"&amp;DF21,$BC$6:$BC$53,INDEX(T_Equipos[Grupo],MATCH(BD21,T_Equipos[NombreEquipo],0))))</f>
        <v>-</v>
      </c>
      <c r="DH21" s="754">
        <f ca="1">DA21+COUNTIFS(DB$6:DB$53,DB21,DG$6:DG$53,"&lt;"&amp;DG21,$BC$6:$BC$53,INDEX(T_Equipos[Grupo],MATCH(BD21,T_Equipos[NombreEquipo],0)))</f>
        <v>4</v>
      </c>
      <c r="DI21" s="742"/>
      <c r="DJ21" s="742">
        <f t="shared" ca="1" si="53"/>
        <v>4</v>
      </c>
      <c r="DK21" s="742">
        <f t="shared" ca="1" si="24"/>
        <v>12</v>
      </c>
      <c r="DL21" s="742">
        <f t="shared" ca="1" si="33"/>
        <v>1</v>
      </c>
      <c r="DM21" s="736" t="str">
        <f t="shared" ca="1" si="34"/>
        <v>4.1</v>
      </c>
      <c r="DN21" s="742" cm="1">
        <f t="array" aca="1" ref="DN21" ca="1">OFFSET(Horarios!$P$3,DJ21-1,0,DL21,1)</f>
        <v>4</v>
      </c>
      <c r="DO21" s="742"/>
      <c r="DP21" s="742" t="s">
        <v>660</v>
      </c>
      <c r="DQ21" s="742" t="str">
        <f t="shared" ca="1" si="35"/>
        <v>Turquía</v>
      </c>
      <c r="DR21" s="742"/>
      <c r="DS21" s="742"/>
      <c r="DT21" s="742" t="str">
        <f t="shared" ca="1" si="15"/>
        <v>Haití-Escocia</v>
      </c>
      <c r="DU21" s="742"/>
      <c r="DV21" s="742"/>
      <c r="DW21" s="8"/>
    </row>
    <row r="22" spans="1:127" ht="16.05" customHeight="1">
      <c r="A22" s="743" t="str">
        <f ca="1">+Equipos!B11</f>
        <v>Marruecos</v>
      </c>
      <c r="B22" s="740"/>
      <c r="C22" s="744"/>
      <c r="D22" s="742" t="str">
        <f t="shared" si="73"/>
        <v>Visitante</v>
      </c>
      <c r="E22" s="742" t="str">
        <f t="shared" ca="1" si="74"/>
        <v>-</v>
      </c>
      <c r="F22" s="742" t="str">
        <f t="shared" ca="1" si="75"/>
        <v>P.1 (2)</v>
      </c>
      <c r="G22" s="742"/>
      <c r="H22" s="742" t="str">
        <f t="shared" ca="1" si="76"/>
        <v>-</v>
      </c>
      <c r="I22" s="742" t="str">
        <f t="shared" ca="1" si="77"/>
        <v>P.1 (2)</v>
      </c>
      <c r="J22" s="742"/>
      <c r="K22" s="742" t="str">
        <f t="shared" ca="1" si="78"/>
        <v>-</v>
      </c>
      <c r="L22" s="742" t="str">
        <f t="shared" ca="1" si="79"/>
        <v>P.1 (2)</v>
      </c>
      <c r="M22" s="742"/>
      <c r="N22" s="742" t="str">
        <f t="shared" ca="1" si="80"/>
        <v>-</v>
      </c>
      <c r="O22" s="742" t="str">
        <f t="shared" ca="1" si="81"/>
        <v>P.1 (2)</v>
      </c>
      <c r="P22" s="742"/>
      <c r="Q22" s="742" t="str">
        <f t="shared" ca="1" si="82"/>
        <v>-</v>
      </c>
      <c r="R22" s="742" t="str">
        <f t="shared" ca="1" si="83"/>
        <v>P.1 (2)</v>
      </c>
      <c r="S22" s="742"/>
      <c r="T22" s="742" t="str">
        <f t="shared" ca="1" si="84"/>
        <v>-</v>
      </c>
      <c r="U22" s="742" t="str">
        <f t="shared" ca="1" si="85"/>
        <v>P.1 (2)</v>
      </c>
      <c r="V22" s="172"/>
      <c r="W22" s="812"/>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6</v>
      </c>
      <c r="BF22" s="746">
        <f t="shared" ca="1" si="26"/>
        <v>3</v>
      </c>
      <c r="BG22" s="746">
        <f t="shared" ca="1" si="17"/>
        <v>2</v>
      </c>
      <c r="BH22" s="746">
        <f t="shared" ca="1" si="18"/>
        <v>0</v>
      </c>
      <c r="BI22" s="746">
        <f t="shared" ca="1" si="19"/>
        <v>1</v>
      </c>
      <c r="BJ22" s="746">
        <f t="shared" ca="1" si="20"/>
        <v>10</v>
      </c>
      <c r="BK22" s="746">
        <f t="shared" ca="1" si="21"/>
        <v>4</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6</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1</v>
      </c>
      <c r="BV22" s="756">
        <f t="shared" ca="1" si="37"/>
        <v>0</v>
      </c>
      <c r="BW22" s="756">
        <f t="shared" ca="1" si="38"/>
        <v>0</v>
      </c>
      <c r="BX22" s="756">
        <f t="shared" ca="1" si="39"/>
        <v>3</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v>
      </c>
      <c r="CA22" s="756" t="str">
        <f t="shared" ca="1" si="40"/>
        <v>-</v>
      </c>
      <c r="CB22" s="756" t="str">
        <f t="shared" ca="1" si="41"/>
        <v>-</v>
      </c>
      <c r="CC22" s="756" t="str">
        <f t="shared" ca="1" si="42"/>
        <v>-</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v>
      </c>
      <c r="CF22" s="756" t="str">
        <f t="shared" ca="1" si="43"/>
        <v>-</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v>
      </c>
      <c r="CI22" s="756" t="str">
        <f t="shared" ca="1" si="44"/>
        <v>-</v>
      </c>
      <c r="CJ22" s="756" t="str">
        <f t="shared" ca="1" si="45"/>
        <v>-</v>
      </c>
      <c r="CK22" s="756" t="str">
        <f t="shared" ca="1" si="46"/>
        <v>-</v>
      </c>
      <c r="CL22" s="756" t="str">
        <f t="shared" ca="1" si="47"/>
        <v>-</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v>
      </c>
      <c r="CO22" s="756" t="str">
        <f t="shared" ca="1" si="48"/>
        <v>-</v>
      </c>
      <c r="CP22" s="756" t="str">
        <f t="shared" ca="1" si="49"/>
        <v>-</v>
      </c>
      <c r="CQ22" s="756" t="str">
        <f t="shared" ca="1" si="50"/>
        <v>-</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v>
      </c>
      <c r="CT22" s="756" t="str">
        <f t="shared" ca="1" si="51"/>
        <v>-</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v>
      </c>
      <c r="CW22" s="755" t="str">
        <f t="shared" ca="1" si="30"/>
        <v>-</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12</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6.05" customHeight="1">
      <c r="A23" s="743" t="str">
        <f ca="1">+Equipos!B12</f>
        <v>Haití</v>
      </c>
      <c r="B23" s="740"/>
      <c r="C23" s="742"/>
      <c r="D23" s="742" t="str">
        <f t="shared" si="73"/>
        <v>Local</v>
      </c>
      <c r="E23" s="742" t="str">
        <f t="shared" ca="1" si="74"/>
        <v>P.1 (2)</v>
      </c>
      <c r="F23" s="742" t="str">
        <f t="shared" ca="1" si="75"/>
        <v>-</v>
      </c>
      <c r="G23" s="742"/>
      <c r="H23" s="742" t="str">
        <f t="shared" ca="1" si="76"/>
        <v>P.1 (2)</v>
      </c>
      <c r="I23" s="742" t="str">
        <f t="shared" ca="1" si="77"/>
        <v>-</v>
      </c>
      <c r="J23" s="742"/>
      <c r="K23" s="742" t="str">
        <f t="shared" ca="1" si="78"/>
        <v>P.1 (2)</v>
      </c>
      <c r="L23" s="742" t="str">
        <f t="shared" ca="1" si="79"/>
        <v>-</v>
      </c>
      <c r="M23" s="742"/>
      <c r="N23" s="742" t="str">
        <f t="shared" ca="1" si="80"/>
        <v>P.1 (2)</v>
      </c>
      <c r="O23" s="742" t="str">
        <f t="shared" ca="1" si="81"/>
        <v>-</v>
      </c>
      <c r="P23" s="742"/>
      <c r="Q23" s="742" t="str">
        <f t="shared" ca="1" si="82"/>
        <v>P.1 (2)</v>
      </c>
      <c r="R23" s="742" t="str">
        <f t="shared" ca="1" si="83"/>
        <v>-</v>
      </c>
      <c r="S23" s="742"/>
      <c r="T23" s="742" t="str">
        <f t="shared" ca="1" si="84"/>
        <v>P.1 (2)</v>
      </c>
      <c r="U23" s="742" t="str">
        <f t="shared" ca="1" si="85"/>
        <v>-</v>
      </c>
      <c r="V23" s="172"/>
      <c r="W23" s="812"/>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1</v>
      </c>
      <c r="BF23" s="746">
        <f t="shared" ca="1" si="26"/>
        <v>3</v>
      </c>
      <c r="BG23" s="746">
        <f t="shared" ca="1" si="17"/>
        <v>0</v>
      </c>
      <c r="BH23" s="746">
        <f t="shared" ca="1" si="18"/>
        <v>1</v>
      </c>
      <c r="BI23" s="746">
        <f t="shared" ca="1" si="19"/>
        <v>2</v>
      </c>
      <c r="BJ23" s="746">
        <f t="shared" ca="1" si="20"/>
        <v>1</v>
      </c>
      <c r="BK23" s="746">
        <f t="shared" ca="1" si="21"/>
        <v>9</v>
      </c>
      <c r="BL23" s="746">
        <f t="shared" ca="1" si="27"/>
        <v>-8</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1</v>
      </c>
      <c r="BS23" s="755">
        <f ca="1">BP23+COUNTIFS($BQ$6:$BQ$53,BQ23,$BR$6:BR$53,"&gt;"&amp;BR23,$BC$6:$BC$53,INDEX(T_Equipos[Grupo],MATCH(BD23,T_Equipos[NombreEquipo],0)))</f>
        <v>4</v>
      </c>
      <c r="BT23" s="755" t="str">
        <f ca="1">IF(COUNTIFS($BS$6:$BS$53,BS23,$BC$6:$BC$53,INDEX(T_Equipos[Grupo],MATCH(BD23,T_Equipos[NombreEquipo],0)))=1,"-","P."&amp;BS23&amp;" ("&amp;COUNTIFS($BS$6:$BS$53,BS23,$BC$6:$BC$53,INDEX(T_Equipos[Grupo],MATCH(BD23,T_Equipos[NombreEquipo],0)))&amp;")")</f>
        <v>-</v>
      </c>
      <c r="BU23" s="756" t="str">
        <f t="shared" ca="1" si="36"/>
        <v>-</v>
      </c>
      <c r="BV23" s="756" t="str">
        <f t="shared" ca="1" si="37"/>
        <v>-</v>
      </c>
      <c r="BW23" s="756" t="str">
        <f t="shared" ca="1" si="38"/>
        <v>-</v>
      </c>
      <c r="BX23" s="756" t="str">
        <f t="shared" ca="1" si="39"/>
        <v>-</v>
      </c>
      <c r="BY23" s="756">
        <f ca="1">BS23+COUNTIFS($BT$6:$BT$53,BT23,$BX$6:BX$53,"&gt;"&amp;BX23,$BC$6:$BC$53,INDEX(T_Equipos[Grupo],MATCH(BD23,T_Equipos[NombreEquipo],0)))</f>
        <v>4</v>
      </c>
      <c r="BZ23" s="755" t="str">
        <f ca="1">IF(COUNTIFS($BY$6:$BY$53,BY23,$BC$6:$BC$53,INDEX(T_Equipos[Grupo],MATCH(BD23,T_Equipos[NombreEquipo],0)))=1,"-","P."&amp;BY23&amp;" ("&amp;COUNTIFS($BY$6:$BY$53,BY23,$BC$6:$BC$53,INDEX(T_Equipos[Grupo],MATCH(BD23,T_Equipos[NombreEquipo],0)))&amp;")")</f>
        <v>-</v>
      </c>
      <c r="CA23" s="756" t="str">
        <f t="shared" ca="1" si="40"/>
        <v>-</v>
      </c>
      <c r="CB23" s="756" t="str">
        <f t="shared" ca="1" si="41"/>
        <v>-</v>
      </c>
      <c r="CC23" s="756" t="str">
        <f t="shared" ca="1" si="42"/>
        <v>-</v>
      </c>
      <c r="CD23" s="756">
        <f ca="1">BY23+COUNTIFS($BZ$6:$BZ$53,BZ23,$CC$6:CC$53,"&gt;"&amp;CC23,$BC$6:$BC$53,INDEX(T_Equipos[Grupo],MATCH(BD23,T_Equipos[NombreEquipo],0)))</f>
        <v>4</v>
      </c>
      <c r="CE23" s="755" t="str">
        <f ca="1">IF(COUNTIFS($CD$6:$CD$53,CD23,$BC$6:$BC$53,INDEX(T_Equipos[Grupo],MATCH(BD23,T_Equipos[NombreEquipo],0)))=1,"-","P."&amp;CD23&amp;" ("&amp;COUNTIFS($CD$6:$CD$53,CD23,$BC$6:$BC$53,INDEX(T_Equipos[Grupo],MATCH(BD23,T_Equipos[NombreEquipo],0)))&amp;")")</f>
        <v>-</v>
      </c>
      <c r="CF23" s="756" t="str">
        <f t="shared" ca="1" si="43"/>
        <v>-</v>
      </c>
      <c r="CG23" s="756">
        <f ca="1">CD23+COUNTIFS($CE$6:$CE$53,CE23,$CF$6:CF$53,"&gt;"&amp;CF23,$BC$6:$BC$53,INDEX(T_Equipos[Grupo],MATCH(BD23,T_Equipos[NombreEquipo],0)))</f>
        <v>4</v>
      </c>
      <c r="CH23" s="755" t="str">
        <f ca="1">IF(COUNTIFS($CG$6:$CG$53,CG23,$BC$6:$BC$53,INDEX(T_Equipos[Grupo],MATCH(BD23,T_Equipos[NombreEquipo],0)))=1,"-","P."&amp;CG23&amp;" ("&amp;COUNTIFS($CG$6:$CG$53,CG23,$BC$6:$BC$53,INDEX(T_Equipos[Grupo],MATCH(BD23,T_Equipos[NombreEquipo],0)))&amp;")")</f>
        <v>-</v>
      </c>
      <c r="CI23" s="756" t="str">
        <f t="shared" ca="1" si="44"/>
        <v>-</v>
      </c>
      <c r="CJ23" s="756" t="str">
        <f t="shared" ca="1" si="45"/>
        <v>-</v>
      </c>
      <c r="CK23" s="756" t="str">
        <f t="shared" ca="1" si="46"/>
        <v>-</v>
      </c>
      <c r="CL23" s="756" t="str">
        <f t="shared" ca="1" si="47"/>
        <v>-</v>
      </c>
      <c r="CM23" s="756">
        <f ca="1">CG23+COUNTIFS($CH$6:$CH$53,CH23,$CL$6:CL$53,"&gt;"&amp;CL23,$BC$6:$BC$53,INDEX(T_Equipos[Grupo],MATCH(BD23,T_Equipos[NombreEquipo],0)))</f>
        <v>4</v>
      </c>
      <c r="CN23" s="755" t="str">
        <f ca="1">IF(COUNTIFS($CM$6:$CM$53,CM23,$BC$6:$BC$53,INDEX(T_Equipos[Grupo],MATCH(BD23,T_Equipos[NombreEquipo],0)))=1,"-","P."&amp;CM23&amp;" ("&amp;COUNTIFS($CM$6:$CM$53,CM23,$BC$6:$BC$53,INDEX(T_Equipos[Grupo],MATCH(BD23,T_Equipos[NombreEquipo],0)))&amp;")")</f>
        <v>-</v>
      </c>
      <c r="CO23" s="756" t="str">
        <f t="shared" ca="1" si="48"/>
        <v>-</v>
      </c>
      <c r="CP23" s="756" t="str">
        <f t="shared" ca="1" si="49"/>
        <v>-</v>
      </c>
      <c r="CQ23" s="756" t="str">
        <f t="shared" ca="1" si="50"/>
        <v>-</v>
      </c>
      <c r="CR23" s="756">
        <f ca="1">CM23+COUNTIFS($CN$6:$CN$53,CN23,$CQ$6:CQ$53,"&gt;"&amp;CQ23,$BC$6:$BC$53,INDEX(T_Equipos[Grupo],MATCH(BD23,T_Equipos[NombreEquipo],0)))</f>
        <v>4</v>
      </c>
      <c r="CS23" s="755" t="str">
        <f ca="1">IF(COUNTIFS($CR$6:$CR$53,CR23,$BC$6:$BC$53,INDEX(T_Equipos[Grupo],MATCH(BD23,T_Equipos[NombreEquipo],0)))=1,"-","P."&amp;CR23&amp;" ("&amp;COUNTIFS($CR$6:$CR$53,CR23,$BC$6:$BC$53,INDEX(T_Equipos[Grupo],MATCH(BD23,T_Equipos[NombreEquipo],0)))&amp;")")</f>
        <v>-</v>
      </c>
      <c r="CT23" s="756" t="str">
        <f t="shared" ca="1" si="51"/>
        <v>-</v>
      </c>
      <c r="CU23" s="756">
        <f ca="1">CR23+COUNTIFS($CS$6:$CS$53,CS23,$CT$6:CT$53,"&gt;"&amp;CT23,$BC$6:$BC$53,INDEX(T_Equipos[Grupo],MATCH(BD23,T_Equipos[NombreEquipo],0)))</f>
        <v>4</v>
      </c>
      <c r="CV23" s="755" t="str">
        <f ca="1">IF(COUNTIFS($CU$6:$CU$53,CU23,$BC$6:$BC$53,INDEX(T_Equipos[Grupo],MATCH(BD23,T_Equipos[NombreEquipo],0)))=1,"-","P."&amp;CU23&amp;" ("&amp;COUNTIFS($CU$6:$CU$53,CU23,$BC$6:$BC$53,INDEX(T_Equipos[Grupo],MATCH(BD23,T_Equipos[NombreEquipo],0)))&amp;")")</f>
        <v>-</v>
      </c>
      <c r="CW23" s="755" t="str">
        <f t="shared" ca="1" si="30"/>
        <v>-</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12</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6.05" customHeight="1">
      <c r="A24" s="743" t="str">
        <f ca="1">+Equipos!B13</f>
        <v>Escocia</v>
      </c>
      <c r="B24" s="740"/>
      <c r="C24" s="742"/>
      <c r="D24" s="742" t="str">
        <f t="shared" si="73"/>
        <v>Visitante</v>
      </c>
      <c r="E24" s="742" t="str">
        <f t="shared" ca="1" si="74"/>
        <v>-</v>
      </c>
      <c r="F24" s="742" t="str">
        <f t="shared" ca="1" si="75"/>
        <v>P.1 (2)</v>
      </c>
      <c r="G24" s="742"/>
      <c r="H24" s="742" t="str">
        <f t="shared" ca="1" si="76"/>
        <v>-</v>
      </c>
      <c r="I24" s="742" t="str">
        <f t="shared" ca="1" si="77"/>
        <v>P.1 (2)</v>
      </c>
      <c r="J24" s="742"/>
      <c r="K24" s="742" t="str">
        <f t="shared" ca="1" si="78"/>
        <v>-</v>
      </c>
      <c r="L24" s="742" t="str">
        <f t="shared" ca="1" si="79"/>
        <v>P.1 (2)</v>
      </c>
      <c r="M24" s="742"/>
      <c r="N24" s="742" t="str">
        <f t="shared" ca="1" si="80"/>
        <v>-</v>
      </c>
      <c r="O24" s="742" t="str">
        <f t="shared" ca="1" si="81"/>
        <v>P.1 (2)</v>
      </c>
      <c r="P24" s="742"/>
      <c r="Q24" s="742" t="str">
        <f t="shared" ca="1" si="82"/>
        <v>-</v>
      </c>
      <c r="R24" s="742" t="str">
        <f t="shared" ca="1" si="83"/>
        <v>P.1 (2)</v>
      </c>
      <c r="S24" s="742"/>
      <c r="T24" s="742" t="str">
        <f t="shared" ca="1" si="84"/>
        <v>-</v>
      </c>
      <c r="U24" s="742" t="str">
        <f t="shared" ca="1" si="85"/>
        <v>P.1 (2)</v>
      </c>
      <c r="V24" s="172"/>
      <c r="W24" s="812"/>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6</v>
      </c>
      <c r="BF24" s="746">
        <f t="shared" ca="1" si="26"/>
        <v>3</v>
      </c>
      <c r="BG24" s="746">
        <f t="shared" ca="1" si="17"/>
        <v>2</v>
      </c>
      <c r="BH24" s="746">
        <f t="shared" ca="1" si="18"/>
        <v>0</v>
      </c>
      <c r="BI24" s="746">
        <f t="shared" ca="1" si="19"/>
        <v>1</v>
      </c>
      <c r="BJ24" s="746">
        <f t="shared" ca="1" si="20"/>
        <v>4</v>
      </c>
      <c r="BK24" s="746">
        <f t="shared" ca="1" si="21"/>
        <v>2</v>
      </c>
      <c r="BL24" s="746">
        <f t="shared" ca="1" si="27"/>
        <v>2</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6</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1</v>
      </c>
      <c r="BX24" s="756">
        <f t="shared" ca="1" si="39"/>
        <v>0</v>
      </c>
      <c r="BY24" s="756">
        <f ca="1">BS24+COUNTIFS($BT$6:$BT$53,BT24,$BX$6:BX$53,"&gt;"&amp;BX24,$BC$6:$BC$53,INDEX(T_Equipos[Grupo],MATCH(BD24,T_Equipos[NombreEquipo],0)))</f>
        <v>2</v>
      </c>
      <c r="BZ24" s="755" t="str">
        <f ca="1">IF(COUNTIFS($BY$6:$BY$53,BY24,$BC$6:$BC$53,INDEX(T_Equipos[Grupo],MATCH(BD24,T_Equipos[NombreEquipo],0)))=1,"-","P."&amp;BY24&amp;" ("&amp;COUNTIFS($BY$6:$BY$53,BY24,$BC$6:$BC$53,INDEX(T_Equipos[Grupo],MATCH(BD24,T_Equipos[NombreEquipo],0)))&amp;")")</f>
        <v>-</v>
      </c>
      <c r="CA24" s="756" t="str">
        <f t="shared" ca="1" si="40"/>
        <v>-</v>
      </c>
      <c r="CB24" s="756" t="str">
        <f t="shared" ca="1" si="41"/>
        <v>-</v>
      </c>
      <c r="CC24" s="756" t="str">
        <f t="shared" ca="1" si="42"/>
        <v>-</v>
      </c>
      <c r="CD24" s="756">
        <f ca="1">BY24+COUNTIFS($BZ$6:$BZ$53,BZ24,$CC$6:CC$53,"&gt;"&amp;CC24,$BC$6:$BC$53,INDEX(T_Equipos[Grupo],MATCH(BD24,T_Equipos[NombreEquipo],0)))</f>
        <v>2</v>
      </c>
      <c r="CE24" s="755" t="str">
        <f ca="1">IF(COUNTIFS($CD$6:$CD$53,CD24,$BC$6:$BC$53,INDEX(T_Equipos[Grupo],MATCH(BD24,T_Equipos[NombreEquipo],0)))=1,"-","P."&amp;CD24&amp;" ("&amp;COUNTIFS($CD$6:$CD$53,CD24,$BC$6:$BC$53,INDEX(T_Equipos[Grupo],MATCH(BD24,T_Equipos[NombreEquipo],0)))&amp;")")</f>
        <v>-</v>
      </c>
      <c r="CF24" s="756" t="str">
        <f t="shared" ca="1" si="43"/>
        <v>-</v>
      </c>
      <c r="CG24" s="756">
        <f ca="1">CD24+COUNTIFS($CE$6:$CE$53,CE24,$CF$6:CF$53,"&gt;"&amp;CF24,$BC$6:$BC$53,INDEX(T_Equipos[Grupo],MATCH(BD24,T_Equipos[NombreEquipo],0)))</f>
        <v>2</v>
      </c>
      <c r="CH24" s="755" t="str">
        <f ca="1">IF(COUNTIFS($CG$6:$CG$53,CG24,$BC$6:$BC$53,INDEX(T_Equipos[Grupo],MATCH(BD24,T_Equipos[NombreEquipo],0)))=1,"-","P."&amp;CG24&amp;" ("&amp;COUNTIFS($CG$6:$CG$53,CG24,$BC$6:$BC$53,INDEX(T_Equipos[Grupo],MATCH(BD24,T_Equipos[NombreEquipo],0)))&amp;")")</f>
        <v>-</v>
      </c>
      <c r="CI24" s="756" t="str">
        <f t="shared" ca="1" si="44"/>
        <v>-</v>
      </c>
      <c r="CJ24" s="756" t="str">
        <f t="shared" ca="1" si="45"/>
        <v>-</v>
      </c>
      <c r="CK24" s="756" t="str">
        <f t="shared" ca="1" si="46"/>
        <v>-</v>
      </c>
      <c r="CL24" s="756" t="str">
        <f t="shared" ca="1" si="47"/>
        <v>-</v>
      </c>
      <c r="CM24" s="756">
        <f ca="1">CG24+COUNTIFS($CH$6:$CH$53,CH24,$CL$6:CL$53,"&gt;"&amp;CL24,$BC$6:$BC$53,INDEX(T_Equipos[Grupo],MATCH(BD24,T_Equipos[NombreEquipo],0)))</f>
        <v>2</v>
      </c>
      <c r="CN24" s="755" t="str">
        <f ca="1">IF(COUNTIFS($CM$6:$CM$53,CM24,$BC$6:$BC$53,INDEX(T_Equipos[Grupo],MATCH(BD24,T_Equipos[NombreEquipo],0)))=1,"-","P."&amp;CM24&amp;" ("&amp;COUNTIFS($CM$6:$CM$53,CM24,$BC$6:$BC$53,INDEX(T_Equipos[Grupo],MATCH(BD24,T_Equipos[NombreEquipo],0)))&amp;")")</f>
        <v>-</v>
      </c>
      <c r="CO24" s="756" t="str">
        <f t="shared" ca="1" si="48"/>
        <v>-</v>
      </c>
      <c r="CP24" s="756" t="str">
        <f t="shared" ca="1" si="49"/>
        <v>-</v>
      </c>
      <c r="CQ24" s="756" t="str">
        <f t="shared" ca="1" si="50"/>
        <v>-</v>
      </c>
      <c r="CR24" s="756">
        <f ca="1">CM24+COUNTIFS($CN$6:$CN$53,CN24,$CQ$6:CQ$53,"&gt;"&amp;CQ24,$BC$6:$BC$53,INDEX(T_Equipos[Grupo],MATCH(BD24,T_Equipos[NombreEquipo],0)))</f>
        <v>2</v>
      </c>
      <c r="CS24" s="755" t="str">
        <f ca="1">IF(COUNTIFS($CR$6:$CR$53,CR24,$BC$6:$BC$53,INDEX(T_Equipos[Grupo],MATCH(BD24,T_Equipos[NombreEquipo],0)))=1,"-","P."&amp;CR24&amp;" ("&amp;COUNTIFS($CR$6:$CR$53,CR24,$BC$6:$BC$53,INDEX(T_Equipos[Grupo],MATCH(BD24,T_Equipos[NombreEquipo],0)))&amp;")")</f>
        <v>-</v>
      </c>
      <c r="CT24" s="756" t="str">
        <f t="shared" ca="1" si="51"/>
        <v>-</v>
      </c>
      <c r="CU24" s="756">
        <f ca="1">CR24+COUNTIFS($CS$6:$CS$53,CS24,$CT$6:CT$53,"&gt;"&amp;CT24,$BC$6:$BC$53,INDEX(T_Equipos[Grupo],MATCH(BD24,T_Equipos[NombreEquipo],0)))</f>
        <v>2</v>
      </c>
      <c r="CV24" s="755" t="str">
        <f ca="1">IF(COUNTIFS($CU$6:$CU$53,CU24,$BC$6:$BC$53,INDEX(T_Equipos[Grupo],MATCH(BD24,T_Equipos[NombreEquipo],0)))=1,"-","P."&amp;CU24&amp;" ("&amp;COUNTIFS($CU$6:$CU$53,CU24,$BC$6:$BC$53,INDEX(T_Equipos[Grupo],MATCH(BD24,T_Equipos[NombreEquipo],0)))&amp;")")</f>
        <v>-</v>
      </c>
      <c r="CW24" s="755" t="str">
        <f t="shared" ca="1" si="30"/>
        <v>-</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12</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6.95" customHeight="1" thickBot="1">
      <c r="A25" s="737"/>
      <c r="B25" s="737"/>
      <c r="C25" s="737"/>
      <c r="D25" s="742" t="str">
        <f t="shared" si="73"/>
        <v>Local</v>
      </c>
      <c r="E25" s="742" t="str">
        <f t="shared" ca="1" si="74"/>
        <v>P.1 (2)</v>
      </c>
      <c r="F25" s="742" t="str">
        <f t="shared" ca="1" si="75"/>
        <v>-</v>
      </c>
      <c r="G25" s="742"/>
      <c r="H25" s="742" t="str">
        <f t="shared" ca="1" si="76"/>
        <v>P.1 (2)</v>
      </c>
      <c r="I25" s="742" t="str">
        <f t="shared" ca="1" si="77"/>
        <v>-</v>
      </c>
      <c r="J25" s="742"/>
      <c r="K25" s="742" t="str">
        <f t="shared" ca="1" si="78"/>
        <v>P.1 (2)</v>
      </c>
      <c r="L25" s="742" t="str">
        <f t="shared" ca="1" si="79"/>
        <v>-</v>
      </c>
      <c r="M25" s="742"/>
      <c r="N25" s="742" t="str">
        <f t="shared" ca="1" si="80"/>
        <v>P.1 (2)</v>
      </c>
      <c r="O25" s="742" t="str">
        <f t="shared" ca="1" si="81"/>
        <v>-</v>
      </c>
      <c r="P25" s="742"/>
      <c r="Q25" s="742" t="str">
        <f t="shared" ca="1" si="82"/>
        <v>P.1 (2)</v>
      </c>
      <c r="R25" s="742" t="str">
        <f t="shared" ca="1" si="83"/>
        <v>-</v>
      </c>
      <c r="S25" s="742"/>
      <c r="T25" s="742" t="str">
        <f t="shared" ca="1" si="84"/>
        <v>P.1 (2)</v>
      </c>
      <c r="U25" s="742" t="str">
        <f t="shared" ca="1" si="85"/>
        <v>-</v>
      </c>
      <c r="V25" s="172"/>
      <c r="W25" s="813"/>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4</v>
      </c>
      <c r="BF25" s="746">
        <f t="shared" ca="1" si="26"/>
        <v>3</v>
      </c>
      <c r="BG25" s="746">
        <f t="shared" ca="1" si="17"/>
        <v>1</v>
      </c>
      <c r="BH25" s="746">
        <f t="shared" ca="1" si="18"/>
        <v>1</v>
      </c>
      <c r="BI25" s="746">
        <f t="shared" ca="1" si="19"/>
        <v>1</v>
      </c>
      <c r="BJ25" s="746">
        <f t="shared" ca="1" si="20"/>
        <v>2</v>
      </c>
      <c r="BK25" s="746">
        <f t="shared" ca="1" si="21"/>
        <v>2</v>
      </c>
      <c r="BL25" s="746">
        <f t="shared" ca="1" si="27"/>
        <v>0</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4</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v>
      </c>
      <c r="BU25" s="756" t="str">
        <f t="shared" ca="1" si="36"/>
        <v>-</v>
      </c>
      <c r="BV25" s="756" t="str">
        <f t="shared" ca="1" si="37"/>
        <v>-</v>
      </c>
      <c r="BW25" s="756" t="str">
        <f t="shared" ca="1" si="38"/>
        <v>-</v>
      </c>
      <c r="BX25" s="756" t="str">
        <f t="shared" ca="1" si="39"/>
        <v>-</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v>
      </c>
      <c r="CA25" s="756" t="str">
        <f t="shared" ca="1" si="40"/>
        <v>-</v>
      </c>
      <c r="CB25" s="756" t="str">
        <f t="shared" ca="1" si="41"/>
        <v>-</v>
      </c>
      <c r="CC25" s="756" t="str">
        <f t="shared" ca="1" si="42"/>
        <v>-</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v>
      </c>
      <c r="CF25" s="756" t="str">
        <f t="shared" ca="1" si="43"/>
        <v>-</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v>
      </c>
      <c r="CI25" s="756" t="str">
        <f t="shared" ca="1" si="44"/>
        <v>-</v>
      </c>
      <c r="CJ25" s="756" t="str">
        <f t="shared" ca="1" si="45"/>
        <v>-</v>
      </c>
      <c r="CK25" s="756" t="str">
        <f t="shared" ca="1" si="46"/>
        <v>-</v>
      </c>
      <c r="CL25" s="756" t="str">
        <f t="shared" ca="1" si="47"/>
        <v>-</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v>
      </c>
      <c r="CO25" s="756" t="str">
        <f t="shared" ca="1" si="48"/>
        <v>-</v>
      </c>
      <c r="CP25" s="756" t="str">
        <f t="shared" ca="1" si="49"/>
        <v>-</v>
      </c>
      <c r="CQ25" s="756" t="str">
        <f t="shared" ca="1" si="50"/>
        <v>-</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v>
      </c>
      <c r="CT25" s="756" t="str">
        <f t="shared" ca="1" si="51"/>
        <v>-</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v>
      </c>
      <c r="CW25" s="755" t="str">
        <f t="shared" ca="1" si="30"/>
        <v>-</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12</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7</v>
      </c>
      <c r="BF26" s="746">
        <f t="shared" ca="1" si="26"/>
        <v>3</v>
      </c>
      <c r="BG26" s="746">
        <f t="shared" ca="1" si="17"/>
        <v>2</v>
      </c>
      <c r="BH26" s="746">
        <f t="shared" ca="1" si="18"/>
        <v>1</v>
      </c>
      <c r="BI26" s="746">
        <f t="shared" ca="1" si="19"/>
        <v>0</v>
      </c>
      <c r="BJ26" s="746">
        <f t="shared" ca="1" si="20"/>
        <v>10</v>
      </c>
      <c r="BK26" s="746">
        <f t="shared" ca="1" si="21"/>
        <v>4</v>
      </c>
      <c r="BL26" s="746">
        <f t="shared" ca="1" si="27"/>
        <v>6</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7</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v>
      </c>
      <c r="BU26" s="756" t="str">
        <f t="shared" ca="1" si="36"/>
        <v>-</v>
      </c>
      <c r="BV26" s="756" t="str">
        <f t="shared" ca="1" si="37"/>
        <v>-</v>
      </c>
      <c r="BW26" s="756" t="str">
        <f t="shared" ca="1" si="38"/>
        <v>-</v>
      </c>
      <c r="BX26" s="756" t="str">
        <f t="shared" ca="1" si="39"/>
        <v>-</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v>
      </c>
      <c r="CA26" s="756" t="str">
        <f t="shared" ca="1" si="40"/>
        <v>-</v>
      </c>
      <c r="CB26" s="756" t="str">
        <f t="shared" ca="1" si="41"/>
        <v>-</v>
      </c>
      <c r="CC26" s="756" t="str">
        <f t="shared" ca="1" si="42"/>
        <v>-</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v>
      </c>
      <c r="CF26" s="756" t="str">
        <f t="shared" ca="1" si="43"/>
        <v>-</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v>
      </c>
      <c r="CI26" s="756" t="str">
        <f t="shared" ca="1" si="44"/>
        <v>-</v>
      </c>
      <c r="CJ26" s="756" t="str">
        <f t="shared" ca="1" si="45"/>
        <v>-</v>
      </c>
      <c r="CK26" s="756" t="str">
        <f t="shared" ca="1" si="46"/>
        <v>-</v>
      </c>
      <c r="CL26" s="756" t="str">
        <f t="shared" ca="1" si="47"/>
        <v>-</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v>
      </c>
      <c r="CO26" s="756" t="str">
        <f t="shared" ca="1" si="48"/>
        <v>-</v>
      </c>
      <c r="CP26" s="756" t="str">
        <f t="shared" ca="1" si="49"/>
        <v>-</v>
      </c>
      <c r="CQ26" s="756" t="str">
        <f t="shared" ca="1" si="50"/>
        <v>-</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v>
      </c>
      <c r="CT26" s="756" t="str">
        <f t="shared" ca="1" si="51"/>
        <v>-</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v>
      </c>
      <c r="CW26" s="755" t="str">
        <f t="shared" ca="1" si="30"/>
        <v>-</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v>
      </c>
      <c r="CZ26" s="755" t="str">
        <f t="shared" ca="1" si="31"/>
        <v>-</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v>
      </c>
      <c r="DC26" s="754" t="str">
        <f ca="1">IF(DB26="-","-",COUNTIFS(T_Equipos[Rank],"&lt;"&amp;INDEX(T_Equipos[Rank],MATCH(BD26,T_Equipos[NombreEquipo],0)),$BC$6:$BC$53,INDEX(T_Equipos[Grupo],MATCH(BD26,T_Equipos[NombreEquipo],0)))+1)</f>
        <v>-</v>
      </c>
      <c r="DD26" s="754">
        <f ca="1">DA26+COUNTIFS($DB$6:$DB$53,DB26,$DC$6:DC$53,"&lt;"&amp;DC26,$BC$6:$BC$53,INDEX(T_Equipos[Grupo],MATCH(BD26,T_Equipos[NombreEquipo],0)))</f>
        <v>1</v>
      </c>
      <c r="DE26" s="754"/>
      <c r="DF26" s="754">
        <f t="shared" ca="1" si="52"/>
        <v>1</v>
      </c>
      <c r="DG26" s="754" t="str">
        <f ca="1">IF(DB26="-","-",COUNTIFS(DF$6:DF$53,"&lt;"&amp;DF26,$BC$6:$BC$53,INDEX(T_Equipos[Grupo],MATCH(BD26,T_Equipos[NombreEquipo],0))))</f>
        <v>-</v>
      </c>
      <c r="DH26" s="754">
        <f ca="1">DA26+COUNTIFS(DB$6:DB$53,DB26,DG$6:DG$53,"&lt;"&amp;DG26,$BC$6:$BC$53,INDEX(T_Equipos[Grupo],MATCH(BD26,T_Equipos[NombreEquipo],0)))</f>
        <v>1</v>
      </c>
      <c r="DI26" s="742"/>
      <c r="DJ26" s="742">
        <f t="shared" ca="1" si="53"/>
        <v>1</v>
      </c>
      <c r="DK26" s="742">
        <f t="shared" ca="1" si="24"/>
        <v>12</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5</v>
      </c>
      <c r="BF27" s="746">
        <f t="shared" ca="1" si="26"/>
        <v>3</v>
      </c>
      <c r="BG27" s="746">
        <f t="shared" ca="1" si="17"/>
        <v>1</v>
      </c>
      <c r="BH27" s="746">
        <f t="shared" ca="1" si="18"/>
        <v>2</v>
      </c>
      <c r="BI27" s="746">
        <f t="shared" ca="1" si="19"/>
        <v>0</v>
      </c>
      <c r="BJ27" s="746">
        <f t="shared" ca="1" si="20"/>
        <v>7</v>
      </c>
      <c r="BK27" s="746">
        <f t="shared" ca="1" si="21"/>
        <v>3</v>
      </c>
      <c r="BL27" s="746">
        <f t="shared" ca="1" si="27"/>
        <v>4</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5</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v>
      </c>
      <c r="BU27" s="756" t="str">
        <f t="shared" ca="1" si="36"/>
        <v>-</v>
      </c>
      <c r="BV27" s="756" t="str">
        <f t="shared" ca="1" si="37"/>
        <v>-</v>
      </c>
      <c r="BW27" s="756" t="str">
        <f t="shared" ca="1" si="38"/>
        <v>-</v>
      </c>
      <c r="BX27" s="756" t="str">
        <f t="shared" ca="1" si="39"/>
        <v>-</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v>
      </c>
      <c r="CA27" s="756" t="str">
        <f t="shared" ca="1" si="40"/>
        <v>-</v>
      </c>
      <c r="CB27" s="756" t="str">
        <f t="shared" ca="1" si="41"/>
        <v>-</v>
      </c>
      <c r="CC27" s="756" t="str">
        <f t="shared" ca="1" si="42"/>
        <v>-</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v>
      </c>
      <c r="CF27" s="756" t="str">
        <f t="shared" ca="1" si="43"/>
        <v>-</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v>
      </c>
      <c r="CI27" s="756" t="str">
        <f t="shared" ca="1" si="44"/>
        <v>-</v>
      </c>
      <c r="CJ27" s="756" t="str">
        <f t="shared" ca="1" si="45"/>
        <v>-</v>
      </c>
      <c r="CK27" s="756" t="str">
        <f t="shared" ca="1" si="46"/>
        <v>-</v>
      </c>
      <c r="CL27" s="756" t="str">
        <f t="shared" ca="1" si="47"/>
        <v>-</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v>
      </c>
      <c r="CO27" s="756" t="str">
        <f t="shared" ca="1" si="48"/>
        <v>-</v>
      </c>
      <c r="CP27" s="756" t="str">
        <f t="shared" ca="1" si="49"/>
        <v>-</v>
      </c>
      <c r="CQ27" s="756" t="str">
        <f t="shared" ca="1" si="50"/>
        <v>-</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v>
      </c>
      <c r="CT27" s="756" t="str">
        <f t="shared" ca="1" si="51"/>
        <v>-</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v>
      </c>
      <c r="CW27" s="755" t="str">
        <f t="shared" ca="1" si="30"/>
        <v>-</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v>
      </c>
      <c r="CZ27" s="755" t="str">
        <f t="shared" ca="1" si="31"/>
        <v>-</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v>
      </c>
      <c r="DC27" s="754" t="str">
        <f ca="1">IF(DB27="-","-",COUNTIFS(T_Equipos[Rank],"&lt;"&amp;INDEX(T_Equipos[Rank],MATCH(BD27,T_Equipos[NombreEquipo],0)),$BC$6:$BC$53,INDEX(T_Equipos[Grupo],MATCH(BD27,T_Equipos[NombreEquipo],0)))+1)</f>
        <v>-</v>
      </c>
      <c r="DD27" s="754">
        <f ca="1">DA27+COUNTIFS($DB$6:$DB$53,DB27,$DC$6:DC$53,"&lt;"&amp;DC27,$BC$6:$BC$53,INDEX(T_Equipos[Grupo],MATCH(BD27,T_Equipos[NombreEquipo],0)))</f>
        <v>2</v>
      </c>
      <c r="DE27" s="754"/>
      <c r="DF27" s="754">
        <f t="shared" ca="1" si="52"/>
        <v>2</v>
      </c>
      <c r="DG27" s="754" t="str">
        <f ca="1">IF(DB27="-","-",COUNTIFS(DF$6:DF$53,"&lt;"&amp;DF27,$BC$6:$BC$53,INDEX(T_Equipos[Grupo],MATCH(BD27,T_Equipos[NombreEquipo],0))))</f>
        <v>-</v>
      </c>
      <c r="DH27" s="754">
        <f ca="1">DA27+COUNTIFS(DB$6:DB$53,DB27,DG$6:DG$53,"&lt;"&amp;DG27,$BC$6:$BC$53,INDEX(T_Equipos[Grupo],MATCH(BD27,T_Equipos[NombreEquipo],0)))</f>
        <v>2</v>
      </c>
      <c r="DI27" s="742"/>
      <c r="DJ27" s="742">
        <f t="shared" ca="1" si="53"/>
        <v>2</v>
      </c>
      <c r="DK27" s="742">
        <f t="shared" ca="1" si="24"/>
        <v>12</v>
      </c>
      <c r="DL27" s="742">
        <f t="shared" ca="1" si="33"/>
        <v>1</v>
      </c>
      <c r="DM27" s="736" t="str">
        <f t="shared" ca="1" si="34"/>
        <v>2.1</v>
      </c>
      <c r="DN27" s="742" cm="1">
        <f t="array" aca="1" ref="DN27" ca="1">OFFSET(Horarios!$P$3,DJ27-1,0,DL27,1)</f>
        <v>2</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v>
      </c>
      <c r="F28" s="742" t="str">
        <f t="shared" ref="F28:F33" ca="1" si="96">IF(D28="Pendiente","-",INDEX($BT$6:$BT$53,MATCH($AF28,$BD$6:$BD$53,0)))</f>
        <v>P.2 (2)</v>
      </c>
      <c r="G28" s="742"/>
      <c r="H28" s="742" t="str">
        <f t="shared" ref="H28:H33" ca="1" si="97">IF(D28="Pendiente","-",INDEX($BZ$6:$BZ$53,MATCH($AA28,$BD$6:$BD$53,0)))</f>
        <v>-</v>
      </c>
      <c r="I28" s="742" t="str">
        <f t="shared" ref="I28:I33" ca="1" si="98">IF(D28="Pendiente","-",INDEX($BZ$6:$BZ$53,MATCH($AF28,$BD$6:$BD$53,0)))</f>
        <v>P.2 (2)</v>
      </c>
      <c r="J28" s="742"/>
      <c r="K28" s="742" t="str">
        <f t="shared" ref="K28:K33" ca="1" si="99">IF(D28="Pendiente","-",INDEX($CE$6:$CE$53,MATCH($AA28,$BD$6:$BD$53,0)))</f>
        <v>-</v>
      </c>
      <c r="L28" s="742" t="str">
        <f t="shared" ref="L28:L33" ca="1" si="100">IF(D28="Pendiente","-",INDEX($CE$6:$CE$53,MATCH($AF28,$BD$6:$BD$53,0)))</f>
        <v>P.2 (2)</v>
      </c>
      <c r="M28" s="742"/>
      <c r="N28" s="742" t="str">
        <f t="shared" ref="N28:N33" ca="1" si="101">IF(D28="Pendiente","-",INDEX($CH$6:$CH$53,MATCH($AA28,$BD$6:$BD$53,0)))</f>
        <v>-</v>
      </c>
      <c r="O28" s="742" t="str">
        <f t="shared" ref="O28:O33" ca="1" si="102">IF(D28="Pendiente","-",INDEX($CH$6:$CH$53,MATCH($AF28,$BD$6:$BD$53,0)))</f>
        <v>P.2 (2)</v>
      </c>
      <c r="P28" s="742"/>
      <c r="Q28" s="742" t="str">
        <f t="shared" ref="Q28:Q33" ca="1" si="103">IF(D28="Pendiente","-",INDEX($CN$6:$CN$53,MATCH($AA28,$BD$6:$BD$53,0)))</f>
        <v>-</v>
      </c>
      <c r="R28" s="742" t="str">
        <f t="shared" ref="R28:R33" ca="1" si="104">IF(D28="Pendiente","-",INDEX($CN$6:$CN$53,MATCH($AF28,$BD$6:$BD$53,0)))</f>
        <v>P.2 (2)</v>
      </c>
      <c r="S28" s="742"/>
      <c r="T28" s="742" t="str">
        <f t="shared" ref="T28:T33" ca="1" si="105">IF(D28="Pendiente","-",INDEX($CS$6:$CS$53,MATCH($AA28,$BD$6:$BD$53,0)))</f>
        <v>-</v>
      </c>
      <c r="U28" s="742" t="str">
        <f t="shared" ref="U28:U33" ca="1" si="106">IF(D28="Pendiente","-",INDEX($CS$6:$CS$53,MATCH($AF28,$BD$6:$BD$53,0)))</f>
        <v>P.2 (2)</v>
      </c>
      <c r="V28" s="172"/>
      <c r="W28" s="814"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4</v>
      </c>
      <c r="BF28" s="746">
        <f t="shared" ca="1" si="26"/>
        <v>3</v>
      </c>
      <c r="BG28" s="746">
        <f t="shared" ca="1" si="17"/>
        <v>1</v>
      </c>
      <c r="BH28" s="746">
        <f t="shared" ca="1" si="18"/>
        <v>1</v>
      </c>
      <c r="BI28" s="746">
        <f t="shared" ca="1" si="19"/>
        <v>1</v>
      </c>
      <c r="BJ28" s="746">
        <f t="shared" ca="1" si="20"/>
        <v>7</v>
      </c>
      <c r="BK28" s="746">
        <f t="shared" ca="1" si="21"/>
        <v>7</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4</v>
      </c>
      <c r="BS28" s="755">
        <f ca="1">BP28+COUNTIFS($BQ$6:$BQ$53,BQ28,$BR$6:BR$53,"&gt;"&amp;BR28,$BC$6:$BC$53,INDEX(T_Equipos[Grupo],MATCH(BD28,T_Equipos[NombreEquipo],0)))</f>
        <v>3</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3</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3</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3</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3</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3</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3</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3</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3</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3</v>
      </c>
      <c r="DE28" s="754"/>
      <c r="DF28" s="754">
        <f t="shared" ca="1" si="52"/>
        <v>3</v>
      </c>
      <c r="DG28" s="754" t="str">
        <f ca="1">IF(DB28="-","-",COUNTIFS(DF$6:DF$53,"&lt;"&amp;DF28,$BC$6:$BC$53,INDEX(T_Equipos[Grupo],MATCH(BD28,T_Equipos[NombreEquipo],0))))</f>
        <v>-</v>
      </c>
      <c r="DH28" s="754">
        <f ca="1">DA28+COUNTIFS(DB$6:DB$53,DB28,DG$6:DG$53,"&lt;"&amp;DG28,$BC$6:$BC$53,INDEX(T_Equipos[Grupo],MATCH(BD28,T_Equipos[NombreEquipo],0)))</f>
        <v>3</v>
      </c>
      <c r="DI28" s="742"/>
      <c r="DJ28" s="742">
        <f t="shared" ca="1" si="53"/>
        <v>3</v>
      </c>
      <c r="DK28" s="742">
        <f t="shared" ca="1" si="24"/>
        <v>12</v>
      </c>
      <c r="DL28" s="742">
        <f t="shared" ca="1" si="33"/>
        <v>1</v>
      </c>
      <c r="DM28" s="736" t="str">
        <f t="shared" ca="1" si="34"/>
        <v>3.1</v>
      </c>
      <c r="DN28" s="742" cm="1">
        <f t="array" aca="1" ref="DN28" ca="1">OFFSET(Horarios!$P$3,DJ28-1,0,DL28,1)</f>
        <v>3</v>
      </c>
      <c r="DO28" s="742"/>
      <c r="DP28" s="742" t="s">
        <v>94</v>
      </c>
      <c r="DQ28" s="742" t="str">
        <f t="shared" ca="1" si="35"/>
        <v>Suecia</v>
      </c>
      <c r="DR28" s="742"/>
      <c r="DS28" s="742"/>
      <c r="DT28" s="742" t="str">
        <f t="shared" ca="1" si="15"/>
        <v>Estados Unidos-Paraguay</v>
      </c>
      <c r="DU28" s="742"/>
      <c r="DV28" s="742"/>
      <c r="DW28" s="8"/>
    </row>
    <row r="29" spans="1:127" ht="16.05" customHeight="1">
      <c r="A29" s="743" t="str">
        <f ca="1">+Equipos!B14</f>
        <v>Estados Unidos</v>
      </c>
      <c r="B29" s="740"/>
      <c r="C29" s="740"/>
      <c r="D29" s="742" t="str">
        <f t="shared" si="94"/>
        <v>Local</v>
      </c>
      <c r="E29" s="742" t="str">
        <f t="shared" ca="1" si="95"/>
        <v>P.2 (2)</v>
      </c>
      <c r="F29" s="742" t="str">
        <f t="shared" ca="1" si="96"/>
        <v>-</v>
      </c>
      <c r="G29" s="742"/>
      <c r="H29" s="742" t="str">
        <f t="shared" ca="1" si="97"/>
        <v>P.2 (2)</v>
      </c>
      <c r="I29" s="742" t="str">
        <f t="shared" ca="1" si="98"/>
        <v>-</v>
      </c>
      <c r="J29" s="742"/>
      <c r="K29" s="742" t="str">
        <f t="shared" ca="1" si="99"/>
        <v>P.2 (2)</v>
      </c>
      <c r="L29" s="742" t="str">
        <f t="shared" ca="1" si="100"/>
        <v>-</v>
      </c>
      <c r="M29" s="742"/>
      <c r="N29" s="742" t="str">
        <f t="shared" ca="1" si="101"/>
        <v>P.2 (2)</v>
      </c>
      <c r="O29" s="742" t="str">
        <f t="shared" ca="1" si="102"/>
        <v>-</v>
      </c>
      <c r="P29" s="742"/>
      <c r="Q29" s="742" t="str">
        <f t="shared" ca="1" si="103"/>
        <v>P.2 (2)</v>
      </c>
      <c r="R29" s="742" t="str">
        <f t="shared" ca="1" si="104"/>
        <v>-</v>
      </c>
      <c r="S29" s="742"/>
      <c r="T29" s="742" t="str">
        <f t="shared" ca="1" si="105"/>
        <v>P.2 (2)</v>
      </c>
      <c r="U29" s="742" t="str">
        <f t="shared" ca="1" si="106"/>
        <v>-</v>
      </c>
      <c r="V29" s="172"/>
      <c r="W29" s="814"/>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3</v>
      </c>
      <c r="BG29" s="746">
        <f t="shared" ca="1" si="17"/>
        <v>0</v>
      </c>
      <c r="BH29" s="746">
        <f t="shared" ca="1" si="18"/>
        <v>0</v>
      </c>
      <c r="BI29" s="746">
        <f t="shared" ca="1" si="19"/>
        <v>3</v>
      </c>
      <c r="BJ29" s="746">
        <f t="shared" ca="1" si="20"/>
        <v>2</v>
      </c>
      <c r="BK29" s="746">
        <f t="shared" ca="1" si="21"/>
        <v>12</v>
      </c>
      <c r="BL29" s="746">
        <f t="shared" ca="1" si="27"/>
        <v>-10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12</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6.05" customHeight="1">
      <c r="A30" s="743" t="str">
        <f ca="1">+Equipos!B15</f>
        <v>Paraguay</v>
      </c>
      <c r="B30" s="740"/>
      <c r="C30" s="744"/>
      <c r="D30" s="742" t="str">
        <f t="shared" si="94"/>
        <v>Local</v>
      </c>
      <c r="E30" s="742" t="str">
        <f t="shared" ca="1" si="95"/>
        <v>-</v>
      </c>
      <c r="F30" s="742" t="str">
        <f t="shared" ca="1" si="96"/>
        <v>P.2 (2)</v>
      </c>
      <c r="G30" s="742"/>
      <c r="H30" s="742" t="str">
        <f t="shared" ca="1" si="97"/>
        <v>-</v>
      </c>
      <c r="I30" s="742" t="str">
        <f t="shared" ca="1" si="98"/>
        <v>P.2 (2)</v>
      </c>
      <c r="J30" s="742"/>
      <c r="K30" s="742" t="str">
        <f t="shared" ca="1" si="99"/>
        <v>-</v>
      </c>
      <c r="L30" s="742" t="str">
        <f t="shared" ca="1" si="100"/>
        <v>P.2 (2)</v>
      </c>
      <c r="M30" s="742"/>
      <c r="N30" s="742" t="str">
        <f t="shared" ca="1" si="101"/>
        <v>-</v>
      </c>
      <c r="O30" s="742" t="str">
        <f t="shared" ca="1" si="102"/>
        <v>P.2 (2)</v>
      </c>
      <c r="P30" s="742"/>
      <c r="Q30" s="742" t="str">
        <f t="shared" ca="1" si="103"/>
        <v>-</v>
      </c>
      <c r="R30" s="742" t="str">
        <f t="shared" ca="1" si="104"/>
        <v>P.2 (2)</v>
      </c>
      <c r="S30" s="742"/>
      <c r="T30" s="742" t="str">
        <f t="shared" ca="1" si="105"/>
        <v>-</v>
      </c>
      <c r="U30" s="742" t="str">
        <f t="shared" ca="1" si="106"/>
        <v>P.2 (2)</v>
      </c>
      <c r="V30" s="172"/>
      <c r="W30" s="814"/>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5</v>
      </c>
      <c r="BF30" s="746">
        <f t="shared" ca="1" si="26"/>
        <v>3</v>
      </c>
      <c r="BG30" s="746">
        <f t="shared" ca="1" si="17"/>
        <v>1</v>
      </c>
      <c r="BH30" s="746">
        <f t="shared" ca="1" si="18"/>
        <v>2</v>
      </c>
      <c r="BI30" s="746">
        <f t="shared" ca="1" si="19"/>
        <v>0</v>
      </c>
      <c r="BJ30" s="746">
        <f t="shared" ca="1" si="20"/>
        <v>6</v>
      </c>
      <c r="BK30" s="746">
        <f t="shared" ca="1" si="21"/>
        <v>2</v>
      </c>
      <c r="BL30" s="746">
        <f t="shared" ca="1" si="27"/>
        <v>4</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5</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(2)</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(2)</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(2)</v>
      </c>
      <c r="CF30" s="756">
        <f t="shared" ca="1" si="43"/>
        <v>1</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(2)</v>
      </c>
      <c r="CI30" s="756">
        <f t="shared" ca="1" si="44"/>
        <v>0</v>
      </c>
      <c r="CJ30" s="756">
        <f t="shared" ca="1" si="45"/>
        <v>1</v>
      </c>
      <c r="CK30" s="756">
        <f t="shared" ca="1" si="46"/>
        <v>0</v>
      </c>
      <c r="CL30" s="756">
        <f t="shared" ca="1" si="47"/>
        <v>1</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(2)</v>
      </c>
      <c r="CO30" s="756">
        <f t="shared" ca="1" si="48"/>
        <v>1</v>
      </c>
      <c r="CP30" s="756">
        <f t="shared" ca="1" si="49"/>
        <v>1</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(2)</v>
      </c>
      <c r="CT30" s="756">
        <f t="shared" ca="1" si="51"/>
        <v>1</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(2)</v>
      </c>
      <c r="CW30" s="755">
        <f t="shared" ca="1" si="30"/>
        <v>4</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v>
      </c>
      <c r="CZ30" s="755" t="str">
        <f t="shared" ca="1" si="31"/>
        <v>-</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v>
      </c>
      <c r="DC30" s="754" t="str">
        <f ca="1">IF(DB30="-","-",COUNTIFS(T_Equipos[Rank],"&lt;"&amp;INDEX(T_Equipos[Rank],MATCH(BD30,T_Equipos[NombreEquipo],0)),$BC$6:$BC$53,INDEX(T_Equipos[Grupo],MATCH(BD30,T_Equipos[NombreEquipo],0)))+1)</f>
        <v>-</v>
      </c>
      <c r="DD30" s="754">
        <f ca="1">DA30+COUNTIFS($DB$6:$DB$53,DB30,$DC$6:DC$53,"&lt;"&amp;DC30,$BC$6:$BC$53,INDEX(T_Equipos[Grupo],MATCH(BD30,T_Equipos[NombreEquipo],0)))</f>
        <v>1</v>
      </c>
      <c r="DE30" s="754"/>
      <c r="DF30" s="754">
        <f t="shared" ca="1" si="52"/>
        <v>1</v>
      </c>
      <c r="DG30" s="754" t="str">
        <f ca="1">IF(DB30="-","-",COUNTIFS(DF$6:DF$53,"&lt;"&amp;DF30,$BC$6:$BC$53,INDEX(T_Equipos[Grupo],MATCH(BD30,T_Equipos[NombreEquipo],0))))</f>
        <v>-</v>
      </c>
      <c r="DH30" s="754">
        <f ca="1">DA30+COUNTIFS(DB$6:DB$53,DB30,DG$6:DG$53,"&lt;"&amp;DG30,$BC$6:$BC$53,INDEX(T_Equipos[Grupo],MATCH(BD30,T_Equipos[NombreEquipo],0)))</f>
        <v>1</v>
      </c>
      <c r="DI30" s="742"/>
      <c r="DJ30" s="742">
        <f t="shared" ca="1" si="53"/>
        <v>1</v>
      </c>
      <c r="DK30" s="742">
        <f t="shared" ca="1" si="24"/>
        <v>12</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6.05" customHeight="1">
      <c r="A31" s="743" t="str">
        <f ca="1">+Equipos!B16</f>
        <v>Australia</v>
      </c>
      <c r="B31" s="740"/>
      <c r="C31" s="742"/>
      <c r="D31" s="742" t="str">
        <f t="shared" si="94"/>
        <v>Visitante</v>
      </c>
      <c r="E31" s="742" t="str">
        <f t="shared" ca="1" si="95"/>
        <v>-</v>
      </c>
      <c r="F31" s="742" t="str">
        <f t="shared" ca="1" si="96"/>
        <v>P.2 (2)</v>
      </c>
      <c r="G31" s="742"/>
      <c r="H31" s="742" t="str">
        <f t="shared" ca="1" si="97"/>
        <v>-</v>
      </c>
      <c r="I31" s="742" t="str">
        <f t="shared" ca="1" si="98"/>
        <v>P.2 (2)</v>
      </c>
      <c r="J31" s="742"/>
      <c r="K31" s="742" t="str">
        <f t="shared" ca="1" si="99"/>
        <v>-</v>
      </c>
      <c r="L31" s="742" t="str">
        <f t="shared" ca="1" si="100"/>
        <v>P.2 (2)</v>
      </c>
      <c r="M31" s="742"/>
      <c r="N31" s="742" t="str">
        <f t="shared" ca="1" si="101"/>
        <v>-</v>
      </c>
      <c r="O31" s="742" t="str">
        <f t="shared" ca="1" si="102"/>
        <v>P.2 (2)</v>
      </c>
      <c r="P31" s="742"/>
      <c r="Q31" s="742" t="str">
        <f t="shared" ca="1" si="103"/>
        <v>-</v>
      </c>
      <c r="R31" s="742" t="str">
        <f t="shared" ca="1" si="104"/>
        <v>P.2 (2)</v>
      </c>
      <c r="S31" s="742"/>
      <c r="T31" s="742" t="str">
        <f t="shared" ca="1" si="105"/>
        <v>-</v>
      </c>
      <c r="U31" s="742" t="str">
        <f t="shared" ca="1" si="106"/>
        <v>P.2 (2)</v>
      </c>
      <c r="V31" s="172"/>
      <c r="W31" s="814"/>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5</v>
      </c>
      <c r="BF31" s="746">
        <f t="shared" ca="1" si="26"/>
        <v>3</v>
      </c>
      <c r="BG31" s="746">
        <f t="shared" ca="1" si="17"/>
        <v>1</v>
      </c>
      <c r="BH31" s="746">
        <f t="shared" ca="1" si="18"/>
        <v>2</v>
      </c>
      <c r="BI31" s="746">
        <f t="shared" ca="1" si="19"/>
        <v>0</v>
      </c>
      <c r="BJ31" s="746">
        <f t="shared" ca="1" si="20"/>
        <v>5</v>
      </c>
      <c r="BK31" s="746">
        <f t="shared" ca="1" si="21"/>
        <v>3</v>
      </c>
      <c r="BL31" s="746">
        <f t="shared" ca="1" si="27"/>
        <v>2</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5</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(2)</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(2)</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(2)</v>
      </c>
      <c r="CF31" s="756">
        <f t="shared" ca="1" si="43"/>
        <v>1</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(2)</v>
      </c>
      <c r="CI31" s="756">
        <f t="shared" ca="1" si="44"/>
        <v>0</v>
      </c>
      <c r="CJ31" s="756">
        <f t="shared" ca="1" si="45"/>
        <v>1</v>
      </c>
      <c r="CK31" s="756">
        <f t="shared" ca="1" si="46"/>
        <v>0</v>
      </c>
      <c r="CL31" s="756">
        <f t="shared" ca="1" si="47"/>
        <v>1</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(2)</v>
      </c>
      <c r="CO31" s="756">
        <f t="shared" ca="1" si="48"/>
        <v>1</v>
      </c>
      <c r="CP31" s="756">
        <f t="shared" ca="1" si="49"/>
        <v>1</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(2)</v>
      </c>
      <c r="CT31" s="756">
        <f t="shared" ca="1" si="51"/>
        <v>1</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(2)</v>
      </c>
      <c r="CW31" s="755">
        <f t="shared" ca="1" si="30"/>
        <v>2</v>
      </c>
      <c r="CX31" s="755">
        <f ca="1">CU31+COUNTIFS($CV$6:$CV$53,CV31,$CW$6:CW$53,"&gt;"&amp;CW31,$BC$6:$BC$53,INDEX(T_Equipos[Grupo],MATCH(BD31,T_Equipos[NombreEquipo],0)))</f>
        <v>2</v>
      </c>
      <c r="CY31" s="755" t="str">
        <f ca="1">IF(COUNTIFS($CX$6:$CX$53,CX31,$BC$6:$BC$53,INDEX(T_Equipos[Grupo],MATCH(BD31,T_Equipos[NombreEquipo],0)))=1,"-","P."&amp;CX31&amp;" ("&amp;COUNTIFS($CX$6:$CX$53,CX31,$BC$6:$BC$53,INDEX(T_Equipos[Grupo],MATCH(BD31,T_Equipos[NombreEquipo],0)))&amp;")")</f>
        <v>-</v>
      </c>
      <c r="CZ31" s="755" t="str">
        <f t="shared" ca="1" si="31"/>
        <v>-</v>
      </c>
      <c r="DA31" s="756">
        <f ca="1">CX31+COUNTIFS($CY$6:$CY$53,CY31,$CZ$6:CZ$53,"&gt;"&amp;CZ31,$BC$6:$BC$53,INDEX(T_Equipos[Grupo],MATCH(BD31,T_Equipos[NombreEquipo],0)))</f>
        <v>2</v>
      </c>
      <c r="DB31" s="755" t="str">
        <f ca="1">IF(COUNTIFS($DA$6:$DA$53,DA31,$BC$6:$BC$53,INDEX(T_Equipos[Grupo],MATCH(BD31,T_Equipos[NombreEquipo],0)))=1,"-","P."&amp;DA31&amp;" ("&amp;COUNTIFS($DA$6:$DA$53,DA31,$BC$6:$BC$53,INDEX(T_Equipos[Grupo],MATCH(BD31,T_Equipos[NombreEquipo],0)))&amp;")")</f>
        <v>-</v>
      </c>
      <c r="DC31" s="754" t="str">
        <f ca="1">IF(DB31="-","-",COUNTIFS(T_Equipos[Rank],"&lt;"&amp;INDEX(T_Equipos[Rank],MATCH(BD31,T_Equipos[NombreEquipo],0)),$BC$6:$BC$53,INDEX(T_Equipos[Grupo],MATCH(BD31,T_Equipos[NombreEquipo],0)))+1)</f>
        <v>-</v>
      </c>
      <c r="DD31" s="754">
        <f ca="1">DA31+COUNTIFS($DB$6:$DB$53,DB31,$DC$6:DC$53,"&lt;"&amp;DC31,$BC$6:$BC$53,INDEX(T_Equipos[Grupo],MATCH(BD31,T_Equipos[NombreEquipo],0)))</f>
        <v>2</v>
      </c>
      <c r="DE31" s="754"/>
      <c r="DF31" s="754">
        <f t="shared" ca="1" si="52"/>
        <v>2</v>
      </c>
      <c r="DG31" s="754" t="str">
        <f ca="1">IF(DB31="-","-",COUNTIFS(DF$6:DF$53,"&lt;"&amp;DF31,$BC$6:$BC$53,INDEX(T_Equipos[Grupo],MATCH(BD31,T_Equipos[NombreEquipo],0))))</f>
        <v>-</v>
      </c>
      <c r="DH31" s="754">
        <f ca="1">DA31+COUNTIFS(DB$6:DB$53,DB31,DG$6:DG$53,"&lt;"&amp;DG31,$BC$6:$BC$53,INDEX(T_Equipos[Grupo],MATCH(BD31,T_Equipos[NombreEquipo],0)))</f>
        <v>2</v>
      </c>
      <c r="DI31" s="742"/>
      <c r="DJ31" s="742">
        <f t="shared" ca="1" si="53"/>
        <v>2</v>
      </c>
      <c r="DK31" s="742">
        <f t="shared" ca="1" si="24"/>
        <v>12</v>
      </c>
      <c r="DL31" s="742">
        <f t="shared" ca="1" si="33"/>
        <v>1</v>
      </c>
      <c r="DM31" s="736" t="str">
        <f t="shared" ca="1" si="34"/>
        <v>2.1</v>
      </c>
      <c r="DN31" s="742" cm="1">
        <f t="array" aca="1" ref="DN31" ca="1">OFFSET(Horarios!$P$3,DJ31-1,0,DL31,1)</f>
        <v>2</v>
      </c>
      <c r="DO31" s="742"/>
      <c r="DP31" s="742" t="s">
        <v>668</v>
      </c>
      <c r="DQ31" s="742" t="str">
        <f t="shared" ca="1" si="35"/>
        <v>Egipto</v>
      </c>
      <c r="DR31" s="742"/>
      <c r="DS31" s="742"/>
      <c r="DT31" s="742" t="str">
        <f t="shared" ca="1" si="15"/>
        <v>Turquía-Paraguay</v>
      </c>
      <c r="DU31" s="742"/>
      <c r="DV31" s="742"/>
      <c r="DW31" s="8"/>
    </row>
    <row r="32" spans="1:127" ht="16.05" customHeight="1">
      <c r="A32" s="743" t="str">
        <f ca="1">+Equipos!B17</f>
        <v>Turquía</v>
      </c>
      <c r="B32" s="740"/>
      <c r="C32" s="742"/>
      <c r="D32" s="742" t="str">
        <f t="shared" si="94"/>
        <v>Local</v>
      </c>
      <c r="E32" s="742" t="str">
        <f t="shared" ca="1" si="95"/>
        <v>-</v>
      </c>
      <c r="F32" s="742" t="str">
        <f t="shared" ca="1" si="96"/>
        <v>-</v>
      </c>
      <c r="G32" s="742"/>
      <c r="H32" s="742" t="str">
        <f t="shared" ca="1" si="97"/>
        <v>-</v>
      </c>
      <c r="I32" s="742" t="str">
        <f t="shared" ca="1" si="98"/>
        <v>-</v>
      </c>
      <c r="J32" s="742"/>
      <c r="K32" s="742" t="str">
        <f t="shared" ca="1" si="99"/>
        <v>-</v>
      </c>
      <c r="L32" s="742" t="str">
        <f t="shared" ca="1" si="100"/>
        <v>-</v>
      </c>
      <c r="M32" s="742"/>
      <c r="N32" s="742" t="str">
        <f t="shared" ca="1" si="101"/>
        <v>-</v>
      </c>
      <c r="O32" s="742" t="str">
        <f t="shared" ca="1" si="102"/>
        <v>-</v>
      </c>
      <c r="P32" s="742"/>
      <c r="Q32" s="742" t="str">
        <f t="shared" ca="1" si="103"/>
        <v>-</v>
      </c>
      <c r="R32" s="742" t="str">
        <f t="shared" ca="1" si="104"/>
        <v>-</v>
      </c>
      <c r="S32" s="742"/>
      <c r="T32" s="742" t="str">
        <f t="shared" ca="1" si="105"/>
        <v>-</v>
      </c>
      <c r="U32" s="742" t="str">
        <f t="shared" ca="1" si="106"/>
        <v>-</v>
      </c>
      <c r="V32" s="172"/>
      <c r="W32" s="814"/>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2"/>
      <c r="BC32" s="754" t="str">
        <f ca="1">+INDEX(T_Equipos[Grupo],MATCH(WORLDCUP!BD32,T_Equipos[NombreEquipo],0))</f>
        <v>G</v>
      </c>
      <c r="BD32" s="742" t="str">
        <f ca="1">+Equipos!B28</f>
        <v>Irán</v>
      </c>
      <c r="BE32" s="746">
        <f t="shared" ca="1" si="25"/>
        <v>3</v>
      </c>
      <c r="BF32" s="746">
        <f t="shared" ca="1" si="26"/>
        <v>3</v>
      </c>
      <c r="BG32" s="746">
        <f t="shared" ca="1" si="17"/>
        <v>0</v>
      </c>
      <c r="BH32" s="746">
        <f t="shared" ca="1" si="18"/>
        <v>3</v>
      </c>
      <c r="BI32" s="746">
        <f t="shared" ca="1" si="19"/>
        <v>0</v>
      </c>
      <c r="BJ32" s="746">
        <f t="shared" ca="1" si="20"/>
        <v>3</v>
      </c>
      <c r="BK32" s="746">
        <f t="shared" ca="1" si="21"/>
        <v>3</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3</v>
      </c>
      <c r="BS32" s="755">
        <f ca="1">BP32+COUNTIFS($BQ$6:$BQ$53,BQ32,$BR$6:BR$53,"&gt;"&amp;BR32,$BC$6:$BC$53,INDEX(T_Equipos[Grupo],MATCH(BD32,T_Equipos[NombreEquipo],0)))</f>
        <v>3</v>
      </c>
      <c r="BT32" s="755" t="str">
        <f ca="1">IF(COUNTIFS($BS$6:$BS$53,BS32,$BC$6:$BC$53,INDEX(T_Equipos[Grupo],MATCH(BD32,T_Equipos[NombreEquipo],0)))=1,"-","P."&amp;BS32&amp;" ("&amp;COUNTIFS($BS$6:$BS$53,BS32,$BC$6:$BC$53,INDEX(T_Equipos[Grupo],MATCH(BD32,T_Equipos[NombreEquipo],0)))&amp;")")</f>
        <v>-</v>
      </c>
      <c r="BU32" s="756" t="str">
        <f t="shared" ca="1" si="36"/>
        <v>-</v>
      </c>
      <c r="BV32" s="756" t="str">
        <f t="shared" ca="1" si="37"/>
        <v>-</v>
      </c>
      <c r="BW32" s="756" t="str">
        <f t="shared" ca="1" si="38"/>
        <v>-</v>
      </c>
      <c r="BX32" s="756" t="str">
        <f t="shared" ca="1" si="39"/>
        <v>-</v>
      </c>
      <c r="BY32" s="756">
        <f ca="1">BS32+COUNTIFS($BT$6:$BT$53,BT32,$BX$6:BX$53,"&gt;"&amp;BX32,$BC$6:$BC$53,INDEX(T_Equipos[Grupo],MATCH(BD32,T_Equipos[NombreEquipo],0)))</f>
        <v>3</v>
      </c>
      <c r="BZ32" s="755" t="str">
        <f ca="1">IF(COUNTIFS($BY$6:$BY$53,BY32,$BC$6:$BC$53,INDEX(T_Equipos[Grupo],MATCH(BD32,T_Equipos[NombreEquipo],0)))=1,"-","P."&amp;BY32&amp;" ("&amp;COUNTIFS($BY$6:$BY$53,BY32,$BC$6:$BC$53,INDEX(T_Equipos[Grupo],MATCH(BD32,T_Equipos[NombreEquipo],0)))&amp;")")</f>
        <v>-</v>
      </c>
      <c r="CA32" s="756" t="str">
        <f t="shared" ca="1" si="40"/>
        <v>-</v>
      </c>
      <c r="CB32" s="756" t="str">
        <f t="shared" ca="1" si="41"/>
        <v>-</v>
      </c>
      <c r="CC32" s="756" t="str">
        <f t="shared" ca="1" si="42"/>
        <v>-</v>
      </c>
      <c r="CD32" s="756">
        <f ca="1">BY32+COUNTIFS($BZ$6:$BZ$53,BZ32,$CC$6:CC$53,"&gt;"&amp;CC32,$BC$6:$BC$53,INDEX(T_Equipos[Grupo],MATCH(BD32,T_Equipos[NombreEquipo],0)))</f>
        <v>3</v>
      </c>
      <c r="CE32" s="755" t="str">
        <f ca="1">IF(COUNTIFS($CD$6:$CD$53,CD32,$BC$6:$BC$53,INDEX(T_Equipos[Grupo],MATCH(BD32,T_Equipos[NombreEquipo],0)))=1,"-","P."&amp;CD32&amp;" ("&amp;COUNTIFS($CD$6:$CD$53,CD32,$BC$6:$BC$53,INDEX(T_Equipos[Grupo],MATCH(BD32,T_Equipos[NombreEquipo],0)))&amp;")")</f>
        <v>-</v>
      </c>
      <c r="CF32" s="756" t="str">
        <f t="shared" ca="1" si="43"/>
        <v>-</v>
      </c>
      <c r="CG32" s="756">
        <f ca="1">CD32+COUNTIFS($CE$6:$CE$53,CE32,$CF$6:CF$53,"&gt;"&amp;CF32,$BC$6:$BC$53,INDEX(T_Equipos[Grupo],MATCH(BD32,T_Equipos[NombreEquipo],0)))</f>
        <v>3</v>
      </c>
      <c r="CH32" s="755" t="str">
        <f ca="1">IF(COUNTIFS($CG$6:$CG$53,CG32,$BC$6:$BC$53,INDEX(T_Equipos[Grupo],MATCH(BD32,T_Equipos[NombreEquipo],0)))=1,"-","P."&amp;CG32&amp;" ("&amp;COUNTIFS($CG$6:$CG$53,CG32,$BC$6:$BC$53,INDEX(T_Equipos[Grupo],MATCH(BD32,T_Equipos[NombreEquipo],0)))&amp;")")</f>
        <v>-</v>
      </c>
      <c r="CI32" s="756" t="str">
        <f t="shared" ca="1" si="44"/>
        <v>-</v>
      </c>
      <c r="CJ32" s="756" t="str">
        <f t="shared" ca="1" si="45"/>
        <v>-</v>
      </c>
      <c r="CK32" s="756" t="str">
        <f t="shared" ca="1" si="46"/>
        <v>-</v>
      </c>
      <c r="CL32" s="756" t="str">
        <f t="shared" ca="1" si="47"/>
        <v>-</v>
      </c>
      <c r="CM32" s="756">
        <f ca="1">CG32+COUNTIFS($CH$6:$CH$53,CH32,$CL$6:CL$53,"&gt;"&amp;CL32,$BC$6:$BC$53,INDEX(T_Equipos[Grupo],MATCH(BD32,T_Equipos[NombreEquipo],0)))</f>
        <v>3</v>
      </c>
      <c r="CN32" s="755" t="str">
        <f ca="1">IF(COUNTIFS($CM$6:$CM$53,CM32,$BC$6:$BC$53,INDEX(T_Equipos[Grupo],MATCH(BD32,T_Equipos[NombreEquipo],0)))=1,"-","P."&amp;CM32&amp;" ("&amp;COUNTIFS($CM$6:$CM$53,CM32,$BC$6:$BC$53,INDEX(T_Equipos[Grupo],MATCH(BD32,T_Equipos[NombreEquipo],0)))&amp;")")</f>
        <v>-</v>
      </c>
      <c r="CO32" s="756" t="str">
        <f t="shared" ca="1" si="48"/>
        <v>-</v>
      </c>
      <c r="CP32" s="756" t="str">
        <f t="shared" ca="1" si="49"/>
        <v>-</v>
      </c>
      <c r="CQ32" s="756" t="str">
        <f t="shared" ca="1" si="50"/>
        <v>-</v>
      </c>
      <c r="CR32" s="756">
        <f ca="1">CM32+COUNTIFS($CN$6:$CN$53,CN32,$CQ$6:CQ$53,"&gt;"&amp;CQ32,$BC$6:$BC$53,INDEX(T_Equipos[Grupo],MATCH(BD32,T_Equipos[NombreEquipo],0)))</f>
        <v>3</v>
      </c>
      <c r="CS32" s="755" t="str">
        <f ca="1">IF(COUNTIFS($CR$6:$CR$53,CR32,$BC$6:$BC$53,INDEX(T_Equipos[Grupo],MATCH(BD32,T_Equipos[NombreEquipo],0)))=1,"-","P."&amp;CR32&amp;" ("&amp;COUNTIFS($CR$6:$CR$53,CR32,$BC$6:$BC$53,INDEX(T_Equipos[Grupo],MATCH(BD32,T_Equipos[NombreEquipo],0)))&amp;")")</f>
        <v>-</v>
      </c>
      <c r="CT32" s="756" t="str">
        <f t="shared" ca="1" si="51"/>
        <v>-</v>
      </c>
      <c r="CU32" s="756">
        <f ca="1">CR32+COUNTIFS($CS$6:$CS$53,CS32,$CT$6:CT$53,"&gt;"&amp;CT32,$BC$6:$BC$53,INDEX(T_Equipos[Grupo],MATCH(BD32,T_Equipos[NombreEquipo],0)))</f>
        <v>3</v>
      </c>
      <c r="CV32" s="755" t="str">
        <f ca="1">IF(COUNTIFS($CU$6:$CU$53,CU32,$BC$6:$BC$53,INDEX(T_Equipos[Grupo],MATCH(BD32,T_Equipos[NombreEquipo],0)))=1,"-","P."&amp;CU32&amp;" ("&amp;COUNTIFS($CU$6:$CU$53,CU32,$BC$6:$BC$53,INDEX(T_Equipos[Grupo],MATCH(BD32,T_Equipos[NombreEquipo],0)))&amp;")")</f>
        <v>-</v>
      </c>
      <c r="CW32" s="755" t="str">
        <f t="shared" ca="1" si="30"/>
        <v>-</v>
      </c>
      <c r="CX32" s="755">
        <f ca="1">CU32+COUNTIFS($CV$6:$CV$53,CV32,$CW$6:CW$53,"&gt;"&amp;CW32,$BC$6:$BC$53,INDEX(T_Equipos[Grupo],MATCH(BD32,T_Equipos[NombreEquipo],0)))</f>
        <v>3</v>
      </c>
      <c r="CY32" s="755" t="str">
        <f ca="1">IF(COUNTIFS($CX$6:$CX$53,CX32,$BC$6:$BC$53,INDEX(T_Equipos[Grupo],MATCH(BD32,T_Equipos[NombreEquipo],0)))=1,"-","P."&amp;CX32&amp;" ("&amp;COUNTIFS($CX$6:$CX$53,CX32,$BC$6:$BC$53,INDEX(T_Equipos[Grupo],MATCH(BD32,T_Equipos[NombreEquipo],0)))&amp;")")</f>
        <v>-</v>
      </c>
      <c r="CZ32" s="755" t="str">
        <f t="shared" ca="1" si="31"/>
        <v>-</v>
      </c>
      <c r="DA32" s="756">
        <f ca="1">CX32+COUNTIFS($CY$6:$CY$53,CY32,$CZ$6:CZ$53,"&gt;"&amp;CZ32,$BC$6:$BC$53,INDEX(T_Equipos[Grupo],MATCH(BD32,T_Equipos[NombreEquipo],0)))</f>
        <v>3</v>
      </c>
      <c r="DB32" s="755" t="str">
        <f ca="1">IF(COUNTIFS($DA$6:$DA$53,DA32,$BC$6:$BC$53,INDEX(T_Equipos[Grupo],MATCH(BD32,T_Equipos[NombreEquipo],0)))=1,"-","P."&amp;DA32&amp;" ("&amp;COUNTIFS($DA$6:$DA$53,DA32,$BC$6:$BC$53,INDEX(T_Equipos[Grupo],MATCH(BD32,T_Equipos[NombreEquipo],0)))&amp;")")</f>
        <v>-</v>
      </c>
      <c r="DC32" s="754" t="str">
        <f ca="1">IF(DB32="-","-",COUNTIFS(T_Equipos[Rank],"&lt;"&amp;INDEX(T_Equipos[Rank],MATCH(BD32,T_Equipos[NombreEquipo],0)),$BC$6:$BC$53,INDEX(T_Equipos[Grupo],MATCH(BD32,T_Equipos[NombreEquipo],0)))+1)</f>
        <v>-</v>
      </c>
      <c r="DD32" s="754">
        <f ca="1">DA32+COUNTIFS($DB$6:$DB$53,DB32,$DC$6:DC$53,"&lt;"&amp;DC32,$BC$6:$BC$53,INDEX(T_Equipos[Grupo],MATCH(BD32,T_Equipos[NombreEquipo],0)))</f>
        <v>3</v>
      </c>
      <c r="DE32" s="754"/>
      <c r="DF32" s="754">
        <f t="shared" ca="1" si="52"/>
        <v>3</v>
      </c>
      <c r="DG32" s="754" t="str">
        <f ca="1">IF(DB32="-","-",COUNTIFS(DF$6:DF$53,"&lt;"&amp;DF32,$BC$6:$BC$53,INDEX(T_Equipos[Grupo],MATCH(BD32,T_Equipos[NombreEquipo],0))))</f>
        <v>-</v>
      </c>
      <c r="DH32" s="754">
        <f ca="1">DA32+COUNTIFS(DB$6:DB$53,DB32,DG$6:DG$53,"&lt;"&amp;DG32,$BC$6:$BC$53,INDEX(T_Equipos[Grupo],MATCH(BD32,T_Equipos[NombreEquipo],0)))</f>
        <v>3</v>
      </c>
      <c r="DI32" s="742"/>
      <c r="DJ32" s="742">
        <f t="shared" ca="1" si="53"/>
        <v>3</v>
      </c>
      <c r="DK32" s="742">
        <f t="shared" ca="1" si="24"/>
        <v>12</v>
      </c>
      <c r="DL32" s="742">
        <f t="shared" ca="1" si="33"/>
        <v>1</v>
      </c>
      <c r="DM32" s="736" t="str">
        <f t="shared" ca="1" si="34"/>
        <v>3.1</v>
      </c>
      <c r="DN32" s="742" cm="1">
        <f t="array" aca="1" ref="DN32" ca="1">OFFSET(Horarios!$P$3,DJ32-1,0,DL32,1)</f>
        <v>3</v>
      </c>
      <c r="DO32" s="742"/>
      <c r="DP32" s="742" t="s">
        <v>435</v>
      </c>
      <c r="DQ32" s="742" t="str">
        <f t="shared" ca="1" si="35"/>
        <v>Irán</v>
      </c>
      <c r="DR32" s="742"/>
      <c r="DS32" s="742"/>
      <c r="DT32" s="742" t="str">
        <f t="shared" ca="1" si="15"/>
        <v>Turquía-Estados Unidos</v>
      </c>
      <c r="DU32" s="742"/>
      <c r="DV32" s="742"/>
      <c r="DW32" s="8"/>
    </row>
    <row r="33" spans="1:127" ht="16.95" customHeight="1" thickBot="1">
      <c r="A33" s="737"/>
      <c r="B33" s="737"/>
      <c r="C33" s="737"/>
      <c r="D33" s="742" t="str">
        <f t="shared" si="94"/>
        <v>Empate</v>
      </c>
      <c r="E33" s="742" t="str">
        <f t="shared" ca="1" si="95"/>
        <v>P.2 (2)</v>
      </c>
      <c r="F33" s="742" t="str">
        <f t="shared" ca="1" si="96"/>
        <v>P.2 (2)</v>
      </c>
      <c r="G33" s="742"/>
      <c r="H33" s="742" t="str">
        <f t="shared" ca="1" si="97"/>
        <v>P.2 (2)</v>
      </c>
      <c r="I33" s="742" t="str">
        <f t="shared" ca="1" si="98"/>
        <v>P.2 (2)</v>
      </c>
      <c r="J33" s="742"/>
      <c r="K33" s="742" t="str">
        <f t="shared" ca="1" si="99"/>
        <v>P.2 (2)</v>
      </c>
      <c r="L33" s="742" t="str">
        <f t="shared" ca="1" si="100"/>
        <v>P.2 (2)</v>
      </c>
      <c r="M33" s="742"/>
      <c r="N33" s="742" t="str">
        <f t="shared" ca="1" si="101"/>
        <v>P.2 (2)</v>
      </c>
      <c r="O33" s="742" t="str">
        <f t="shared" ca="1" si="102"/>
        <v>P.2 (2)</v>
      </c>
      <c r="P33" s="742"/>
      <c r="Q33" s="742" t="str">
        <f t="shared" ca="1" si="103"/>
        <v>P.2 (2)</v>
      </c>
      <c r="R33" s="742" t="str">
        <f t="shared" ca="1" si="104"/>
        <v>P.2 (2)</v>
      </c>
      <c r="S33" s="742"/>
      <c r="T33" s="742" t="str">
        <f t="shared" ca="1" si="105"/>
        <v>P.2 (2)</v>
      </c>
      <c r="U33" s="742" t="str">
        <f t="shared" ca="1" si="106"/>
        <v>P.2 (2)</v>
      </c>
      <c r="V33" s="172"/>
      <c r="W33" s="815"/>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3</v>
      </c>
      <c r="BG33" s="746">
        <f t="shared" ca="1" si="17"/>
        <v>0</v>
      </c>
      <c r="BH33" s="746">
        <f t="shared" ca="1" si="18"/>
        <v>1</v>
      </c>
      <c r="BI33" s="746">
        <f t="shared" ca="1" si="19"/>
        <v>2</v>
      </c>
      <c r="BJ33" s="746">
        <f t="shared" ca="1" si="20"/>
        <v>4</v>
      </c>
      <c r="BK33" s="746">
        <f t="shared" ca="1" si="21"/>
        <v>10</v>
      </c>
      <c r="BL33" s="746">
        <f t="shared" ca="1" si="27"/>
        <v>-6</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4</v>
      </c>
      <c r="BT33" s="755" t="str">
        <f ca="1">IF(COUNTIFS($BS$6:$BS$53,BS33,$BC$6:$BC$53,INDEX(T_Equipos[Grupo],MATCH(BD33,T_Equipos[NombreEquipo],0)))=1,"-","P."&amp;BS33&amp;" ("&amp;COUNTIFS($BS$6:$BS$53,BS33,$BC$6:$BC$53,INDEX(T_Equipos[Grupo],MATCH(BD33,T_Equipos[NombreEquipo],0)))&amp;")")</f>
        <v>-</v>
      </c>
      <c r="BU33" s="756" t="str">
        <f t="shared" ca="1" si="36"/>
        <v>-</v>
      </c>
      <c r="BV33" s="756" t="str">
        <f t="shared" ca="1" si="37"/>
        <v>-</v>
      </c>
      <c r="BW33" s="756" t="str">
        <f t="shared" ca="1" si="38"/>
        <v>-</v>
      </c>
      <c r="BX33" s="756" t="str">
        <f t="shared" ca="1" si="39"/>
        <v>-</v>
      </c>
      <c r="BY33" s="756">
        <f ca="1">BS33+COUNTIFS($BT$6:$BT$53,BT33,$BX$6:BX$53,"&gt;"&amp;BX33,$BC$6:$BC$53,INDEX(T_Equipos[Grupo],MATCH(BD33,T_Equipos[NombreEquipo],0)))</f>
        <v>4</v>
      </c>
      <c r="BZ33" s="755" t="str">
        <f ca="1">IF(COUNTIFS($BY$6:$BY$53,BY33,$BC$6:$BC$53,INDEX(T_Equipos[Grupo],MATCH(BD33,T_Equipos[NombreEquipo],0)))=1,"-","P."&amp;BY33&amp;" ("&amp;COUNTIFS($BY$6:$BY$53,BY33,$BC$6:$BC$53,INDEX(T_Equipos[Grupo],MATCH(BD33,T_Equipos[NombreEquipo],0)))&amp;")")</f>
        <v>-</v>
      </c>
      <c r="CA33" s="756" t="str">
        <f t="shared" ca="1" si="40"/>
        <v>-</v>
      </c>
      <c r="CB33" s="756" t="str">
        <f t="shared" ca="1" si="41"/>
        <v>-</v>
      </c>
      <c r="CC33" s="756" t="str">
        <f t="shared" ca="1" si="42"/>
        <v>-</v>
      </c>
      <c r="CD33" s="756">
        <f ca="1">BY33+COUNTIFS($BZ$6:$BZ$53,BZ33,$CC$6:CC$53,"&gt;"&amp;CC33,$BC$6:$BC$53,INDEX(T_Equipos[Grupo],MATCH(BD33,T_Equipos[NombreEquipo],0)))</f>
        <v>4</v>
      </c>
      <c r="CE33" s="755" t="str">
        <f ca="1">IF(COUNTIFS($CD$6:$CD$53,CD33,$BC$6:$BC$53,INDEX(T_Equipos[Grupo],MATCH(BD33,T_Equipos[NombreEquipo],0)))=1,"-","P."&amp;CD33&amp;" ("&amp;COUNTIFS($CD$6:$CD$53,CD33,$BC$6:$BC$53,INDEX(T_Equipos[Grupo],MATCH(BD33,T_Equipos[NombreEquipo],0)))&amp;")")</f>
        <v>-</v>
      </c>
      <c r="CF33" s="756" t="str">
        <f t="shared" ca="1" si="43"/>
        <v>-</v>
      </c>
      <c r="CG33" s="756">
        <f ca="1">CD33+COUNTIFS($CE$6:$CE$53,CE33,$CF$6:CF$53,"&gt;"&amp;CF33,$BC$6:$BC$53,INDEX(T_Equipos[Grupo],MATCH(BD33,T_Equipos[NombreEquipo],0)))</f>
        <v>4</v>
      </c>
      <c r="CH33" s="755" t="str">
        <f ca="1">IF(COUNTIFS($CG$6:$CG$53,CG33,$BC$6:$BC$53,INDEX(T_Equipos[Grupo],MATCH(BD33,T_Equipos[NombreEquipo],0)))=1,"-","P."&amp;CG33&amp;" ("&amp;COUNTIFS($CG$6:$CG$53,CG33,$BC$6:$BC$53,INDEX(T_Equipos[Grupo],MATCH(BD33,T_Equipos[NombreEquipo],0)))&amp;")")</f>
        <v>-</v>
      </c>
      <c r="CI33" s="756" t="str">
        <f t="shared" ca="1" si="44"/>
        <v>-</v>
      </c>
      <c r="CJ33" s="756" t="str">
        <f t="shared" ca="1" si="45"/>
        <v>-</v>
      </c>
      <c r="CK33" s="756" t="str">
        <f t="shared" ca="1" si="46"/>
        <v>-</v>
      </c>
      <c r="CL33" s="756" t="str">
        <f t="shared" ca="1" si="47"/>
        <v>-</v>
      </c>
      <c r="CM33" s="756">
        <f ca="1">CG33+COUNTIFS($CH$6:$CH$53,CH33,$CL$6:CL$53,"&gt;"&amp;CL33,$BC$6:$BC$53,INDEX(T_Equipos[Grupo],MATCH(BD33,T_Equipos[NombreEquipo],0)))</f>
        <v>4</v>
      </c>
      <c r="CN33" s="755" t="str">
        <f ca="1">IF(COUNTIFS($CM$6:$CM$53,CM33,$BC$6:$BC$53,INDEX(T_Equipos[Grupo],MATCH(BD33,T_Equipos[NombreEquipo],0)))=1,"-","P."&amp;CM33&amp;" ("&amp;COUNTIFS($CM$6:$CM$53,CM33,$BC$6:$BC$53,INDEX(T_Equipos[Grupo],MATCH(BD33,T_Equipos[NombreEquipo],0)))&amp;")")</f>
        <v>-</v>
      </c>
      <c r="CO33" s="756" t="str">
        <f t="shared" ca="1" si="48"/>
        <v>-</v>
      </c>
      <c r="CP33" s="756" t="str">
        <f t="shared" ca="1" si="49"/>
        <v>-</v>
      </c>
      <c r="CQ33" s="756" t="str">
        <f t="shared" ca="1" si="50"/>
        <v>-</v>
      </c>
      <c r="CR33" s="756">
        <f ca="1">CM33+COUNTIFS($CN$6:$CN$53,CN33,$CQ$6:CQ$53,"&gt;"&amp;CQ33,$BC$6:$BC$53,INDEX(T_Equipos[Grupo],MATCH(BD33,T_Equipos[NombreEquipo],0)))</f>
        <v>4</v>
      </c>
      <c r="CS33" s="755" t="str">
        <f ca="1">IF(COUNTIFS($CR$6:$CR$53,CR33,$BC$6:$BC$53,INDEX(T_Equipos[Grupo],MATCH(BD33,T_Equipos[NombreEquipo],0)))=1,"-","P."&amp;CR33&amp;" ("&amp;COUNTIFS($CR$6:$CR$53,CR33,$BC$6:$BC$53,INDEX(T_Equipos[Grupo],MATCH(BD33,T_Equipos[NombreEquipo],0)))&amp;")")</f>
        <v>-</v>
      </c>
      <c r="CT33" s="756" t="str">
        <f t="shared" ca="1" si="51"/>
        <v>-</v>
      </c>
      <c r="CU33" s="756">
        <f ca="1">CR33+COUNTIFS($CS$6:$CS$53,CS33,$CT$6:CT$53,"&gt;"&amp;CT33,$BC$6:$BC$53,INDEX(T_Equipos[Grupo],MATCH(BD33,T_Equipos[NombreEquipo],0)))</f>
        <v>4</v>
      </c>
      <c r="CV33" s="755" t="str">
        <f ca="1">IF(COUNTIFS($CU$6:$CU$53,CU33,$BC$6:$BC$53,INDEX(T_Equipos[Grupo],MATCH(BD33,T_Equipos[NombreEquipo],0)))=1,"-","P."&amp;CU33&amp;" ("&amp;COUNTIFS($CU$6:$CU$53,CU33,$BC$6:$BC$53,INDEX(T_Equipos[Grupo],MATCH(BD33,T_Equipos[NombreEquipo],0)))&amp;")")</f>
        <v>-</v>
      </c>
      <c r="CW33" s="755" t="str">
        <f t="shared" ca="1" si="30"/>
        <v>-</v>
      </c>
      <c r="CX33" s="755">
        <f ca="1">CU33+COUNTIFS($CV$6:$CV$53,CV33,$CW$6:CW$53,"&gt;"&amp;CW33,$BC$6:$BC$53,INDEX(T_Equipos[Grupo],MATCH(BD33,T_Equipos[NombreEquipo],0)))</f>
        <v>4</v>
      </c>
      <c r="CY33" s="755" t="str">
        <f ca="1">IF(COUNTIFS($CX$6:$CX$53,CX33,$BC$6:$BC$53,INDEX(T_Equipos[Grupo],MATCH(BD33,T_Equipos[NombreEquipo],0)))=1,"-","P."&amp;CX33&amp;" ("&amp;COUNTIFS($CX$6:$CX$53,CX33,$BC$6:$BC$53,INDEX(T_Equipos[Grupo],MATCH(BD33,T_Equipos[NombreEquipo],0)))&amp;")")</f>
        <v>-</v>
      </c>
      <c r="CZ33" s="755" t="str">
        <f t="shared" ca="1" si="31"/>
        <v>-</v>
      </c>
      <c r="DA33" s="756">
        <f ca="1">CX33+COUNTIFS($CY$6:$CY$53,CY33,$CZ$6:CZ$53,"&gt;"&amp;CZ33,$BC$6:$BC$53,INDEX(T_Equipos[Grupo],MATCH(BD33,T_Equipos[NombreEquipo],0)))</f>
        <v>4</v>
      </c>
      <c r="DB33" s="755" t="str">
        <f ca="1">IF(COUNTIFS($DA$6:$DA$53,DA33,$BC$6:$BC$53,INDEX(T_Equipos[Grupo],MATCH(BD33,T_Equipos[NombreEquipo],0)))=1,"-","P."&amp;DA33&amp;" ("&amp;COUNTIFS($DA$6:$DA$53,DA33,$BC$6:$BC$53,INDEX(T_Equipos[Grupo],MATCH(BD33,T_Equipos[NombreEquipo],0)))&amp;")")</f>
        <v>-</v>
      </c>
      <c r="DC33" s="754" t="str">
        <f ca="1">IF(DB33="-","-",COUNTIFS(T_Equipos[Rank],"&lt;"&amp;INDEX(T_Equipos[Rank],MATCH(BD33,T_Equipos[NombreEquipo],0)),$BC$6:$BC$53,INDEX(T_Equipos[Grupo],MATCH(BD33,T_Equipos[NombreEquipo],0)))+1)</f>
        <v>-</v>
      </c>
      <c r="DD33" s="754">
        <f ca="1">DA33+COUNTIFS($DB$6:$DB$53,DB33,$DC$6:DC$53,"&lt;"&amp;DC33,$BC$6:$BC$53,INDEX(T_Equipos[Grupo],MATCH(BD33,T_Equipos[NombreEquipo],0)))</f>
        <v>4</v>
      </c>
      <c r="DE33" s="754"/>
      <c r="DF33" s="754">
        <f t="shared" ca="1" si="52"/>
        <v>4</v>
      </c>
      <c r="DG33" s="754" t="str">
        <f ca="1">IF(DB33="-","-",COUNTIFS(DF$6:DF$53,"&lt;"&amp;DF33,$BC$6:$BC$53,INDEX(T_Equipos[Grupo],MATCH(BD33,T_Equipos[NombreEquipo],0))))</f>
        <v>-</v>
      </c>
      <c r="DH33" s="754">
        <f ca="1">DA33+COUNTIFS(DB$6:DB$53,DB33,DG$6:DG$53,"&lt;"&amp;DG33,$BC$6:$BC$53,INDEX(T_Equipos[Grupo],MATCH(BD33,T_Equipos[NombreEquipo],0)))</f>
        <v>4</v>
      </c>
      <c r="DI33" s="742"/>
      <c r="DJ33" s="742">
        <f t="shared" ca="1" si="53"/>
        <v>4</v>
      </c>
      <c r="DK33" s="742">
        <f t="shared" ca="1" si="24"/>
        <v>12</v>
      </c>
      <c r="DL33" s="742">
        <f t="shared" ca="1" si="33"/>
        <v>1</v>
      </c>
      <c r="DM33" s="736" t="str">
        <f t="shared" ca="1" si="34"/>
        <v>4.1</v>
      </c>
      <c r="DN33" s="742" cm="1">
        <f t="array" aca="1" ref="DN33" ca="1">OFFSET(Horarios!$P$3,DJ33-1,0,DL33,1)</f>
        <v>4</v>
      </c>
      <c r="DO33" s="742"/>
      <c r="DP33" s="742" t="s">
        <v>669</v>
      </c>
      <c r="DQ33" s="742" t="str">
        <f t="shared" ca="1" si="35"/>
        <v>Nueva Zelanda</v>
      </c>
      <c r="DR33" s="742"/>
      <c r="DS33" s="742"/>
      <c r="DT33" s="742" t="str">
        <f t="shared" ca="1" si="15"/>
        <v>Paraguay-Australia</v>
      </c>
      <c r="DU33" s="742"/>
      <c r="DV33" s="742"/>
      <c r="DW33" s="8"/>
    </row>
    <row r="34" spans="1:127" ht="1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7</v>
      </c>
      <c r="BF34" s="746">
        <f t="shared" ca="1" si="26"/>
        <v>3</v>
      </c>
      <c r="BG34" s="746">
        <f t="shared" ca="1" si="17"/>
        <v>2</v>
      </c>
      <c r="BH34" s="746">
        <f t="shared" ca="1" si="18"/>
        <v>1</v>
      </c>
      <c r="BI34" s="746">
        <f t="shared" ca="1" si="19"/>
        <v>0</v>
      </c>
      <c r="BJ34" s="746">
        <f t="shared" ca="1" si="20"/>
        <v>5</v>
      </c>
      <c r="BK34" s="746">
        <f t="shared" ca="1" si="21"/>
        <v>0</v>
      </c>
      <c r="BL34" s="746">
        <f t="shared" ca="1" si="27"/>
        <v>5</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7</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v>
      </c>
      <c r="BU34" s="756" t="str">
        <f t="shared" ca="1" si="36"/>
        <v>-</v>
      </c>
      <c r="BV34" s="756" t="str">
        <f t="shared" ca="1" si="37"/>
        <v>-</v>
      </c>
      <c r="BW34" s="756" t="str">
        <f t="shared" ca="1" si="38"/>
        <v>-</v>
      </c>
      <c r="BX34" s="756" t="str">
        <f t="shared" ca="1" si="39"/>
        <v>-</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v>
      </c>
      <c r="CA34" s="756" t="str">
        <f t="shared" ca="1" si="40"/>
        <v>-</v>
      </c>
      <c r="CB34" s="756" t="str">
        <f t="shared" ca="1" si="41"/>
        <v>-</v>
      </c>
      <c r="CC34" s="756" t="str">
        <f t="shared" ca="1" si="42"/>
        <v>-</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v>
      </c>
      <c r="CF34" s="756" t="str">
        <f t="shared" ca="1" si="43"/>
        <v>-</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v>
      </c>
      <c r="CI34" s="756" t="str">
        <f t="shared" ca="1" si="44"/>
        <v>-</v>
      </c>
      <c r="CJ34" s="756" t="str">
        <f t="shared" ca="1" si="45"/>
        <v>-</v>
      </c>
      <c r="CK34" s="756" t="str">
        <f t="shared" ca="1" si="46"/>
        <v>-</v>
      </c>
      <c r="CL34" s="756" t="str">
        <f t="shared" ca="1" si="47"/>
        <v>-</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v>
      </c>
      <c r="CO34" s="756" t="str">
        <f t="shared" ca="1" si="48"/>
        <v>-</v>
      </c>
      <c r="CP34" s="756" t="str">
        <f t="shared" ca="1" si="49"/>
        <v>-</v>
      </c>
      <c r="CQ34" s="756" t="str">
        <f t="shared" ca="1" si="50"/>
        <v>-</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v>
      </c>
      <c r="CT34" s="756" t="str">
        <f t="shared" ca="1" si="51"/>
        <v>-</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v>
      </c>
      <c r="CW34" s="755" t="str">
        <f t="shared" ca="1" si="30"/>
        <v>-</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v>
      </c>
      <c r="CZ34" s="755" t="str">
        <f t="shared" ca="1" si="31"/>
        <v>-</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v>
      </c>
      <c r="DC34" s="754" t="str">
        <f ca="1">IF(DB34="-","-",COUNTIFS(T_Equipos[Rank],"&lt;"&amp;INDEX(T_Equipos[Rank],MATCH(BD34,T_Equipos[NombreEquipo],0)),$BC$6:$BC$53,INDEX(T_Equipos[Grupo],MATCH(BD34,T_Equipos[NombreEquipo],0)))+1)</f>
        <v>-</v>
      </c>
      <c r="DD34" s="754">
        <f ca="1">DA34+COUNTIFS($DB$6:$DB$53,DB34,$DC$6:DC$53,"&lt;"&amp;DC34,$BC$6:$BC$53,INDEX(T_Equipos[Grupo],MATCH(BD34,T_Equipos[NombreEquipo],0)))</f>
        <v>1</v>
      </c>
      <c r="DE34" s="754"/>
      <c r="DF34" s="754">
        <f t="shared" ca="1" si="52"/>
        <v>1</v>
      </c>
      <c r="DG34" s="754" t="str">
        <f ca="1">IF(DB34="-","-",COUNTIFS(DF$6:DF$53,"&lt;"&amp;DF34,$BC$6:$BC$53,INDEX(T_Equipos[Grupo],MATCH(BD34,T_Equipos[NombreEquipo],0))))</f>
        <v>-</v>
      </c>
      <c r="DH34" s="754">
        <f ca="1">DA34+COUNTIFS(DB$6:DB$53,DB34,DG$6:DG$53,"&lt;"&amp;DG34,$BC$6:$BC$53,INDEX(T_Equipos[Grupo],MATCH(BD34,T_Equipos[NombreEquipo],0)))</f>
        <v>1</v>
      </c>
      <c r="DI34" s="742"/>
      <c r="DJ34" s="742">
        <f t="shared" ca="1" si="53"/>
        <v>1</v>
      </c>
      <c r="DK34" s="742">
        <f t="shared" ca="1" si="24"/>
        <v>12</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3</v>
      </c>
      <c r="BF35" s="746">
        <f t="shared" ca="1" si="26"/>
        <v>3</v>
      </c>
      <c r="BG35" s="746">
        <f t="shared" ca="1" si="17"/>
        <v>0</v>
      </c>
      <c r="BH35" s="746">
        <f t="shared" ca="1" si="18"/>
        <v>3</v>
      </c>
      <c r="BI35" s="746">
        <f t="shared" ca="1" si="19"/>
        <v>0</v>
      </c>
      <c r="BJ35" s="746">
        <f t="shared" ca="1" si="20"/>
        <v>2</v>
      </c>
      <c r="BK35" s="746">
        <f t="shared" ca="1" si="21"/>
        <v>2</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3</v>
      </c>
      <c r="BS35" s="755">
        <f ca="1">BP35+COUNTIFS($BQ$6:$BQ$53,BQ35,$BR$6:BR$53,"&gt;"&amp;BR35,$BC$6:$BC$53,INDEX(T_Equipos[Grupo],MATCH(BD35,T_Equipos[NombreEquipo],0)))</f>
        <v>2</v>
      </c>
      <c r="BT35" s="755" t="str">
        <f ca="1">IF(COUNTIFS($BS$6:$BS$53,BS35,$BC$6:$BC$53,INDEX(T_Equipos[Grupo],MATCH(BD35,T_Equipos[NombreEquipo],0)))=1,"-","P."&amp;BS35&amp;" ("&amp;COUNTIFS($BS$6:$BS$53,BS35,$BC$6:$BC$53,INDEX(T_Equipos[Grupo],MATCH(BD35,T_Equipos[NombreEquipo],0)))&amp;")")</f>
        <v>-</v>
      </c>
      <c r="BU35" s="756" t="str">
        <f t="shared" ca="1" si="36"/>
        <v>-</v>
      </c>
      <c r="BV35" s="756" t="str">
        <f t="shared" ca="1" si="37"/>
        <v>-</v>
      </c>
      <c r="BW35" s="756" t="str">
        <f t="shared" ca="1" si="38"/>
        <v>-</v>
      </c>
      <c r="BX35" s="756" t="str">
        <f t="shared" ca="1" si="39"/>
        <v>-</v>
      </c>
      <c r="BY35" s="756">
        <f ca="1">BS35+COUNTIFS($BT$6:$BT$53,BT35,$BX$6:BX$53,"&gt;"&amp;BX35,$BC$6:$BC$53,INDEX(T_Equipos[Grupo],MATCH(BD35,T_Equipos[NombreEquipo],0)))</f>
        <v>2</v>
      </c>
      <c r="BZ35" s="755" t="str">
        <f ca="1">IF(COUNTIFS($BY$6:$BY$53,BY35,$BC$6:$BC$53,INDEX(T_Equipos[Grupo],MATCH(BD35,T_Equipos[NombreEquipo],0)))=1,"-","P."&amp;BY35&amp;" ("&amp;COUNTIFS($BY$6:$BY$53,BY35,$BC$6:$BC$53,INDEX(T_Equipos[Grupo],MATCH(BD35,T_Equipos[NombreEquipo],0)))&amp;")")</f>
        <v>-</v>
      </c>
      <c r="CA35" s="756" t="str">
        <f t="shared" ca="1" si="40"/>
        <v>-</v>
      </c>
      <c r="CB35" s="756" t="str">
        <f t="shared" ca="1" si="41"/>
        <v>-</v>
      </c>
      <c r="CC35" s="756" t="str">
        <f t="shared" ca="1" si="42"/>
        <v>-</v>
      </c>
      <c r="CD35" s="756">
        <f ca="1">BY35+COUNTIFS($BZ$6:$BZ$53,BZ35,$CC$6:CC$53,"&gt;"&amp;CC35,$BC$6:$BC$53,INDEX(T_Equipos[Grupo],MATCH(BD35,T_Equipos[NombreEquipo],0)))</f>
        <v>2</v>
      </c>
      <c r="CE35" s="755" t="str">
        <f ca="1">IF(COUNTIFS($CD$6:$CD$53,CD35,$BC$6:$BC$53,INDEX(T_Equipos[Grupo],MATCH(BD35,T_Equipos[NombreEquipo],0)))=1,"-","P."&amp;CD35&amp;" ("&amp;COUNTIFS($CD$6:$CD$53,CD35,$BC$6:$BC$53,INDEX(T_Equipos[Grupo],MATCH(BD35,T_Equipos[NombreEquipo],0)))&amp;")")</f>
        <v>-</v>
      </c>
      <c r="CF35" s="756" t="str">
        <f t="shared" ca="1" si="43"/>
        <v>-</v>
      </c>
      <c r="CG35" s="756">
        <f ca="1">CD35+COUNTIFS($CE$6:$CE$53,CE35,$CF$6:CF$53,"&gt;"&amp;CF35,$BC$6:$BC$53,INDEX(T_Equipos[Grupo],MATCH(BD35,T_Equipos[NombreEquipo],0)))</f>
        <v>2</v>
      </c>
      <c r="CH35" s="755" t="str">
        <f ca="1">IF(COUNTIFS($CG$6:$CG$53,CG35,$BC$6:$BC$53,INDEX(T_Equipos[Grupo],MATCH(BD35,T_Equipos[NombreEquipo],0)))=1,"-","P."&amp;CG35&amp;" ("&amp;COUNTIFS($CG$6:$CG$53,CG35,$BC$6:$BC$53,INDEX(T_Equipos[Grupo],MATCH(BD35,T_Equipos[NombreEquipo],0)))&amp;")")</f>
        <v>-</v>
      </c>
      <c r="CI35" s="756" t="str">
        <f t="shared" ca="1" si="44"/>
        <v>-</v>
      </c>
      <c r="CJ35" s="756" t="str">
        <f t="shared" ca="1" si="45"/>
        <v>-</v>
      </c>
      <c r="CK35" s="756" t="str">
        <f t="shared" ca="1" si="46"/>
        <v>-</v>
      </c>
      <c r="CL35" s="756" t="str">
        <f t="shared" ca="1" si="47"/>
        <v>-</v>
      </c>
      <c r="CM35" s="756">
        <f ca="1">CG35+COUNTIFS($CH$6:$CH$53,CH35,$CL$6:CL$53,"&gt;"&amp;CL35,$BC$6:$BC$53,INDEX(T_Equipos[Grupo],MATCH(BD35,T_Equipos[NombreEquipo],0)))</f>
        <v>2</v>
      </c>
      <c r="CN35" s="755" t="str">
        <f ca="1">IF(COUNTIFS($CM$6:$CM$53,CM35,$BC$6:$BC$53,INDEX(T_Equipos[Grupo],MATCH(BD35,T_Equipos[NombreEquipo],0)))=1,"-","P."&amp;CM35&amp;" ("&amp;COUNTIFS($CM$6:$CM$53,CM35,$BC$6:$BC$53,INDEX(T_Equipos[Grupo],MATCH(BD35,T_Equipos[NombreEquipo],0)))&amp;")")</f>
        <v>-</v>
      </c>
      <c r="CO35" s="756" t="str">
        <f t="shared" ca="1" si="48"/>
        <v>-</v>
      </c>
      <c r="CP35" s="756" t="str">
        <f t="shared" ca="1" si="49"/>
        <v>-</v>
      </c>
      <c r="CQ35" s="756" t="str">
        <f t="shared" ca="1" si="50"/>
        <v>-</v>
      </c>
      <c r="CR35" s="756">
        <f ca="1">CM35+COUNTIFS($CN$6:$CN$53,CN35,$CQ$6:CQ$53,"&gt;"&amp;CQ35,$BC$6:$BC$53,INDEX(T_Equipos[Grupo],MATCH(BD35,T_Equipos[NombreEquipo],0)))</f>
        <v>2</v>
      </c>
      <c r="CS35" s="755" t="str">
        <f ca="1">IF(COUNTIFS($CR$6:$CR$53,CR35,$BC$6:$BC$53,INDEX(T_Equipos[Grupo],MATCH(BD35,T_Equipos[NombreEquipo],0)))=1,"-","P."&amp;CR35&amp;" ("&amp;COUNTIFS($CR$6:$CR$53,CR35,$BC$6:$BC$53,INDEX(T_Equipos[Grupo],MATCH(BD35,T_Equipos[NombreEquipo],0)))&amp;")")</f>
        <v>-</v>
      </c>
      <c r="CT35" s="756" t="str">
        <f t="shared" ca="1" si="51"/>
        <v>-</v>
      </c>
      <c r="CU35" s="756">
        <f ca="1">CR35+COUNTIFS($CS$6:$CS$53,CS35,$CT$6:CT$53,"&gt;"&amp;CT35,$BC$6:$BC$53,INDEX(T_Equipos[Grupo],MATCH(BD35,T_Equipos[NombreEquipo],0)))</f>
        <v>2</v>
      </c>
      <c r="CV35" s="755" t="str">
        <f ca="1">IF(COUNTIFS($CU$6:$CU$53,CU35,$BC$6:$BC$53,INDEX(T_Equipos[Grupo],MATCH(BD35,T_Equipos[NombreEquipo],0)))=1,"-","P."&amp;CU35&amp;" ("&amp;COUNTIFS($CU$6:$CU$53,CU35,$BC$6:$BC$53,INDEX(T_Equipos[Grupo],MATCH(BD35,T_Equipos[NombreEquipo],0)))&amp;")")</f>
        <v>-</v>
      </c>
      <c r="CW35" s="755" t="str">
        <f t="shared" ca="1" si="30"/>
        <v>-</v>
      </c>
      <c r="CX35" s="755">
        <f ca="1">CU35+COUNTIFS($CV$6:$CV$53,CV35,$CW$6:CW$53,"&gt;"&amp;CW35,$BC$6:$BC$53,INDEX(T_Equipos[Grupo],MATCH(BD35,T_Equipos[NombreEquipo],0)))</f>
        <v>2</v>
      </c>
      <c r="CY35" s="755" t="str">
        <f ca="1">IF(COUNTIFS($CX$6:$CX$53,CX35,$BC$6:$BC$53,INDEX(T_Equipos[Grupo],MATCH(BD35,T_Equipos[NombreEquipo],0)))=1,"-","P."&amp;CX35&amp;" ("&amp;COUNTIFS($CX$6:$CX$53,CX35,$BC$6:$BC$53,INDEX(T_Equipos[Grupo],MATCH(BD35,T_Equipos[NombreEquipo],0)))&amp;")")</f>
        <v>-</v>
      </c>
      <c r="CZ35" s="755" t="str">
        <f t="shared" ca="1" si="31"/>
        <v>-</v>
      </c>
      <c r="DA35" s="756">
        <f ca="1">CX35+COUNTIFS($CY$6:$CY$53,CY35,$CZ$6:CZ$53,"&gt;"&amp;CZ35,$BC$6:$BC$53,INDEX(T_Equipos[Grupo],MATCH(BD35,T_Equipos[NombreEquipo],0)))</f>
        <v>2</v>
      </c>
      <c r="DB35" s="755" t="str">
        <f ca="1">IF(COUNTIFS($DA$6:$DA$53,DA35,$BC$6:$BC$53,INDEX(T_Equipos[Grupo],MATCH(BD35,T_Equipos[NombreEquipo],0)))=1,"-","P."&amp;DA35&amp;" ("&amp;COUNTIFS($DA$6:$DA$53,DA35,$BC$6:$BC$53,INDEX(T_Equipos[Grupo],MATCH(BD35,T_Equipos[NombreEquipo],0)))&amp;")")</f>
        <v>-</v>
      </c>
      <c r="DC35" s="754" t="str">
        <f ca="1">IF(DB35="-","-",COUNTIFS(T_Equipos[Rank],"&lt;"&amp;INDEX(T_Equipos[Rank],MATCH(BD35,T_Equipos[NombreEquipo],0)),$BC$6:$BC$53,INDEX(T_Equipos[Grupo],MATCH(BD35,T_Equipos[NombreEquipo],0)))+1)</f>
        <v>-</v>
      </c>
      <c r="DD35" s="754">
        <f ca="1">DA35+COUNTIFS($DB$6:$DB$53,DB35,$DC$6:DC$53,"&lt;"&amp;DC35,$BC$6:$BC$53,INDEX(T_Equipos[Grupo],MATCH(BD35,T_Equipos[NombreEquipo],0)))</f>
        <v>2</v>
      </c>
      <c r="DE35" s="754"/>
      <c r="DF35" s="754">
        <f t="shared" ca="1" si="52"/>
        <v>2</v>
      </c>
      <c r="DG35" s="754" t="str">
        <f ca="1">IF(DB35="-","-",COUNTIFS(DF$6:DF$53,"&lt;"&amp;DF35,$BC$6:$BC$53,INDEX(T_Equipos[Grupo],MATCH(BD35,T_Equipos[NombreEquipo],0))))</f>
        <v>-</v>
      </c>
      <c r="DH35" s="754">
        <f ca="1">DA35+COUNTIFS(DB$6:DB$53,DB35,DG$6:DG$53,"&lt;"&amp;DG35,$BC$6:$BC$53,INDEX(T_Equipos[Grupo],MATCH(BD35,T_Equipos[NombreEquipo],0)))</f>
        <v>2</v>
      </c>
      <c r="DI35" s="742"/>
      <c r="DJ35" s="742">
        <f t="shared" ca="1" si="53"/>
        <v>2</v>
      </c>
      <c r="DK35" s="742">
        <f t="shared" ca="1" si="24"/>
        <v>12</v>
      </c>
      <c r="DL35" s="742">
        <f t="shared" ca="1" si="33"/>
        <v>1</v>
      </c>
      <c r="DM35" s="736" t="str">
        <f t="shared" ca="1" si="34"/>
        <v>2.1</v>
      </c>
      <c r="DN35" s="742" cm="1">
        <f t="array" aca="1" ref="DN35" ca="1">OFFSET(Horarios!$P$3,DJ35-1,0,DL35,1)</f>
        <v>2</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v>
      </c>
      <c r="G36" s="742"/>
      <c r="H36" s="742" t="str">
        <f t="shared" ref="H36:H41" ca="1" si="118">IF(D36="Pendiente","-",INDEX($BZ$6:$BZ$53,MATCH($AA36,$BD$6:$BD$53,0)))</f>
        <v>-</v>
      </c>
      <c r="I36" s="742" t="str">
        <f t="shared" ref="I36:I41" ca="1" si="119">IF(D36="Pendiente","-",INDEX($BZ$6:$BZ$53,MATCH($AF36,$BD$6:$BD$53,0)))</f>
        <v>-</v>
      </c>
      <c r="J36" s="742"/>
      <c r="K36" s="742" t="str">
        <f t="shared" ref="K36:K41" ca="1" si="120">IF(D36="Pendiente","-",INDEX($CE$6:$CE$53,MATCH($AA36,$BD$6:$BD$53,0)))</f>
        <v>-</v>
      </c>
      <c r="L36" s="742" t="str">
        <f t="shared" ref="L36:L41" ca="1" si="121">IF(D36="Pendiente","-",INDEX($CE$6:$CE$53,MATCH($AF36,$BD$6:$BD$53,0)))</f>
        <v>-</v>
      </c>
      <c r="M36" s="742"/>
      <c r="N36" s="742" t="str">
        <f t="shared" ref="N36:N41" ca="1" si="122">IF(D36="Pendiente","-",INDEX($CH$6:$CH$53,MATCH($AA36,$BD$6:$BD$53,0)))</f>
        <v>-</v>
      </c>
      <c r="O36" s="742" t="str">
        <f t="shared" ref="O36:O41" ca="1" si="123">IF(D36="Pendiente","-",INDEX($CH$6:$CH$53,MATCH($AF36,$BD$6:$BD$53,0)))</f>
        <v>-</v>
      </c>
      <c r="P36" s="742"/>
      <c r="Q36" s="742" t="str">
        <f t="shared" ref="Q36:Q41" ca="1" si="124">IF(D36="Pendiente","-",INDEX($CN$6:$CN$53,MATCH($AA36,$BD$6:$BD$53,0)))</f>
        <v>-</v>
      </c>
      <c r="R36" s="742" t="str">
        <f t="shared" ref="R36:R41" ca="1" si="125">IF(D36="Pendiente","-",INDEX($CN$6:$CN$53,MATCH($AF36,$BD$6:$BD$53,0)))</f>
        <v>-</v>
      </c>
      <c r="S36" s="742"/>
      <c r="T36" s="742" t="str">
        <f t="shared" ref="T36:T41" ca="1" si="126">IF(D36="Pendiente","-",INDEX($CS$6:$CS$53,MATCH($AA36,$BD$6:$BD$53,0)))</f>
        <v>-</v>
      </c>
      <c r="U36" s="742" t="str">
        <f t="shared" ref="U36:U41" ca="1" si="127">IF(D36="Pendiente","-",INDEX($CS$6:$CS$53,MATCH($AF36,$BD$6:$BD$53,0)))</f>
        <v>-</v>
      </c>
      <c r="V36" s="172"/>
      <c r="W36" s="816"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2</v>
      </c>
      <c r="BF36" s="746">
        <f t="shared" ca="1" si="26"/>
        <v>3</v>
      </c>
      <c r="BG36" s="746">
        <f t="shared" ca="1" si="17"/>
        <v>0</v>
      </c>
      <c r="BH36" s="746">
        <f t="shared" ca="1" si="18"/>
        <v>2</v>
      </c>
      <c r="BI36" s="746">
        <f t="shared" ca="1" si="19"/>
        <v>1</v>
      </c>
      <c r="BJ36" s="746">
        <f t="shared" ca="1" si="20"/>
        <v>1</v>
      </c>
      <c r="BK36" s="746">
        <f t="shared" ca="1" si="21"/>
        <v>5</v>
      </c>
      <c r="BL36" s="746">
        <f t="shared" ca="1" si="27"/>
        <v>-4</v>
      </c>
      <c r="BM36" s="746" t="str">
        <f t="shared" ca="1" si="22"/>
        <v>4H</v>
      </c>
      <c r="BN36" s="746" t="str">
        <f t="shared" ca="1" si="23"/>
        <v>4H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2</v>
      </c>
      <c r="BS36" s="755">
        <f ca="1">BP36+COUNTIFS($BQ$6:$BQ$53,BQ36,$BR$6:BR$53,"&gt;"&amp;BR36,$BC$6:$BC$53,INDEX(T_Equipos[Grupo],MATCH(BD36,T_Equipos[NombreEquipo],0)))</f>
        <v>3</v>
      </c>
      <c r="BT36" s="755" t="str">
        <f ca="1">IF(COUNTIFS($BS$6:$BS$53,BS36,$BC$6:$BC$53,INDEX(T_Equipos[Grupo],MATCH(BD36,T_Equipos[NombreEquipo],0)))=1,"-","P."&amp;BS36&amp;" ("&amp;COUNTIFS($BS$6:$BS$53,BS36,$BC$6:$BC$53,INDEX(T_Equipos[Grupo],MATCH(BD36,T_Equipos[NombreEquipo],0)))&amp;")")</f>
        <v>P.3 (2)</v>
      </c>
      <c r="BU36" s="756">
        <f t="shared" ca="1" si="36"/>
        <v>0</v>
      </c>
      <c r="BV36" s="756">
        <f t="shared" ca="1" si="37"/>
        <v>1</v>
      </c>
      <c r="BW36" s="756">
        <f t="shared" ca="1" si="38"/>
        <v>0</v>
      </c>
      <c r="BX36" s="756">
        <f t="shared" ca="1" si="39"/>
        <v>1</v>
      </c>
      <c r="BY36" s="756">
        <f ca="1">BS36+COUNTIFS($BT$6:$BT$53,BT36,$BX$6:BX$53,"&gt;"&amp;BX36,$BC$6:$BC$53,INDEX(T_Equipos[Grupo],MATCH(BD36,T_Equipos[NombreEquipo],0)))</f>
        <v>3</v>
      </c>
      <c r="BZ36" s="755" t="str">
        <f ca="1">IF(COUNTIFS($BY$6:$BY$53,BY36,$BC$6:$BC$53,INDEX(T_Equipos[Grupo],MATCH(BD36,T_Equipos[NombreEquipo],0)))=1,"-","P."&amp;BY36&amp;" ("&amp;COUNTIFS($BY$6:$BY$53,BY36,$BC$6:$BC$53,INDEX(T_Equipos[Grupo],MATCH(BD36,T_Equipos[NombreEquipo],0)))&amp;")")</f>
        <v>P.3 (2)</v>
      </c>
      <c r="CA36" s="756">
        <f t="shared" ca="1" si="40"/>
        <v>1</v>
      </c>
      <c r="CB36" s="756">
        <f t="shared" ca="1" si="41"/>
        <v>1</v>
      </c>
      <c r="CC36" s="756">
        <f t="shared" ca="1" si="42"/>
        <v>0</v>
      </c>
      <c r="CD36" s="756">
        <f ca="1">BY36+COUNTIFS($BZ$6:$BZ$53,BZ36,$CC$6:CC$53,"&gt;"&amp;CC36,$BC$6:$BC$53,INDEX(T_Equipos[Grupo],MATCH(BD36,T_Equipos[NombreEquipo],0)))</f>
        <v>3</v>
      </c>
      <c r="CE36" s="755" t="str">
        <f ca="1">IF(COUNTIFS($CD$6:$CD$53,CD36,$BC$6:$BC$53,INDEX(T_Equipos[Grupo],MATCH(BD36,T_Equipos[NombreEquipo],0)))=1,"-","P."&amp;CD36&amp;" ("&amp;COUNTIFS($CD$6:$CD$53,CD36,$BC$6:$BC$53,INDEX(T_Equipos[Grupo],MATCH(BD36,T_Equipos[NombreEquipo],0)))&amp;")")</f>
        <v>P.3 (2)</v>
      </c>
      <c r="CF36" s="756">
        <f t="shared" ca="1" si="43"/>
        <v>1</v>
      </c>
      <c r="CG36" s="756">
        <f ca="1">CD36+COUNTIFS($CE$6:$CE$53,CE36,$CF$6:CF$53,"&gt;"&amp;CF36,$BC$6:$BC$53,INDEX(T_Equipos[Grupo],MATCH(BD36,T_Equipos[NombreEquipo],0)))</f>
        <v>3</v>
      </c>
      <c r="CH36" s="755" t="str">
        <f ca="1">IF(COUNTIFS($CG$6:$CG$53,CG36,$BC$6:$BC$53,INDEX(T_Equipos[Grupo],MATCH(BD36,T_Equipos[NombreEquipo],0)))=1,"-","P."&amp;CG36&amp;" ("&amp;COUNTIFS($CG$6:$CG$53,CG36,$BC$6:$BC$53,INDEX(T_Equipos[Grupo],MATCH(BD36,T_Equipos[NombreEquipo],0)))&amp;")")</f>
        <v>P.3 (2)</v>
      </c>
      <c r="CI36" s="756">
        <f t="shared" ca="1" si="44"/>
        <v>0</v>
      </c>
      <c r="CJ36" s="756">
        <f t="shared" ca="1" si="45"/>
        <v>1</v>
      </c>
      <c r="CK36" s="756">
        <f t="shared" ca="1" si="46"/>
        <v>0</v>
      </c>
      <c r="CL36" s="756">
        <f t="shared" ca="1" si="47"/>
        <v>1</v>
      </c>
      <c r="CM36" s="756">
        <f ca="1">CG36+COUNTIFS($CH$6:$CH$53,CH36,$CL$6:CL$53,"&gt;"&amp;CL36,$BC$6:$BC$53,INDEX(T_Equipos[Grupo],MATCH(BD36,T_Equipos[NombreEquipo],0)))</f>
        <v>3</v>
      </c>
      <c r="CN36" s="755" t="str">
        <f ca="1">IF(COUNTIFS($CM$6:$CM$53,CM36,$BC$6:$BC$53,INDEX(T_Equipos[Grupo],MATCH(BD36,T_Equipos[NombreEquipo],0)))=1,"-","P."&amp;CM36&amp;" ("&amp;COUNTIFS($CM$6:$CM$53,CM36,$BC$6:$BC$53,INDEX(T_Equipos[Grupo],MATCH(BD36,T_Equipos[NombreEquipo],0)))&amp;")")</f>
        <v>P.3 (2)</v>
      </c>
      <c r="CO36" s="756">
        <f t="shared" ca="1" si="48"/>
        <v>1</v>
      </c>
      <c r="CP36" s="756">
        <f t="shared" ca="1" si="49"/>
        <v>1</v>
      </c>
      <c r="CQ36" s="756">
        <f t="shared" ca="1" si="50"/>
        <v>0</v>
      </c>
      <c r="CR36" s="756">
        <f ca="1">CM36+COUNTIFS($CN$6:$CN$53,CN36,$CQ$6:CQ$53,"&gt;"&amp;CQ36,$BC$6:$BC$53,INDEX(T_Equipos[Grupo],MATCH(BD36,T_Equipos[NombreEquipo],0)))</f>
        <v>3</v>
      </c>
      <c r="CS36" s="755" t="str">
        <f ca="1">IF(COUNTIFS($CR$6:$CR$53,CR36,$BC$6:$BC$53,INDEX(T_Equipos[Grupo],MATCH(BD36,T_Equipos[NombreEquipo],0)))=1,"-","P."&amp;CR36&amp;" ("&amp;COUNTIFS($CR$6:$CR$53,CR36,$BC$6:$BC$53,INDEX(T_Equipos[Grupo],MATCH(BD36,T_Equipos[NombreEquipo],0)))&amp;")")</f>
        <v>P.3 (2)</v>
      </c>
      <c r="CT36" s="756">
        <f t="shared" ca="1" si="51"/>
        <v>1</v>
      </c>
      <c r="CU36" s="756">
        <f ca="1">CR36+COUNTIFS($CS$6:$CS$53,CS36,$CT$6:CT$53,"&gt;"&amp;CT36,$BC$6:$BC$53,INDEX(T_Equipos[Grupo],MATCH(BD36,T_Equipos[NombreEquipo],0)))</f>
        <v>3</v>
      </c>
      <c r="CV36" s="755" t="str">
        <f ca="1">IF(COUNTIFS($CU$6:$CU$53,CU36,$BC$6:$BC$53,INDEX(T_Equipos[Grupo],MATCH(BD36,T_Equipos[NombreEquipo],0)))=1,"-","P."&amp;CU36&amp;" ("&amp;COUNTIFS($CU$6:$CU$53,CU36,$BC$6:$BC$53,INDEX(T_Equipos[Grupo],MATCH(BD36,T_Equipos[NombreEquipo],0)))&amp;")")</f>
        <v>P.3 (2)</v>
      </c>
      <c r="CW36" s="755">
        <f t="shared" ca="1" si="30"/>
        <v>-4</v>
      </c>
      <c r="CX36" s="755">
        <f ca="1">CU36+COUNTIFS($CV$6:$CV$53,CV36,$CW$6:CW$53,"&gt;"&amp;CW36,$BC$6:$BC$53,INDEX(T_Equipos[Grupo],MATCH(BD36,T_Equipos[NombreEquipo],0)))</f>
        <v>4</v>
      </c>
      <c r="CY36" s="755" t="str">
        <f ca="1">IF(COUNTIFS($CX$6:$CX$53,CX36,$BC$6:$BC$53,INDEX(T_Equipos[Grupo],MATCH(BD36,T_Equipos[NombreEquipo],0)))=1,"-","P."&amp;CX36&amp;" ("&amp;COUNTIFS($CX$6:$CX$53,CX36,$BC$6:$BC$53,INDEX(T_Equipos[Grupo],MATCH(BD36,T_Equipos[NombreEquipo],0)))&amp;")")</f>
        <v>-</v>
      </c>
      <c r="CZ36" s="755" t="str">
        <f t="shared" ca="1" si="31"/>
        <v>-</v>
      </c>
      <c r="DA36" s="756">
        <f ca="1">CX36+COUNTIFS($CY$6:$CY$53,CY36,$CZ$6:CZ$53,"&gt;"&amp;CZ36,$BC$6:$BC$53,INDEX(T_Equipos[Grupo],MATCH(BD36,T_Equipos[NombreEquipo],0)))</f>
        <v>4</v>
      </c>
      <c r="DB36" s="755" t="str">
        <f ca="1">IF(COUNTIFS($DA$6:$DA$53,DA36,$BC$6:$BC$53,INDEX(T_Equipos[Grupo],MATCH(BD36,T_Equipos[NombreEquipo],0)))=1,"-","P."&amp;DA36&amp;" ("&amp;COUNTIFS($DA$6:$DA$53,DA36,$BC$6:$BC$53,INDEX(T_Equipos[Grupo],MATCH(BD36,T_Equipos[NombreEquipo],0)))&amp;")")</f>
        <v>-</v>
      </c>
      <c r="DC36" s="754" t="str">
        <f ca="1">IF(DB36="-","-",COUNTIFS(T_Equipos[Rank],"&lt;"&amp;INDEX(T_Equipos[Rank],MATCH(BD36,T_Equipos[NombreEquipo],0)),$BC$6:$BC$53,INDEX(T_Equipos[Grupo],MATCH(BD36,T_Equipos[NombreEquipo],0)))+1)</f>
        <v>-</v>
      </c>
      <c r="DD36" s="754">
        <f ca="1">DA36+COUNTIFS($DB$6:$DB$53,DB36,$DC$6:DC$53,"&lt;"&amp;DC36,$BC$6:$BC$53,INDEX(T_Equipos[Grupo],MATCH(BD36,T_Equipos[NombreEquipo],0)))</f>
        <v>4</v>
      </c>
      <c r="DE36" s="754"/>
      <c r="DF36" s="754">
        <f t="shared" ca="1" si="52"/>
        <v>4</v>
      </c>
      <c r="DG36" s="754" t="str">
        <f ca="1">IF(DB36="-","-",COUNTIFS(DF$6:DF$53,"&lt;"&amp;DF36,$BC$6:$BC$53,INDEX(T_Equipos[Grupo],MATCH(BD36,T_Equipos[NombreEquipo],0))))</f>
        <v>-</v>
      </c>
      <c r="DH36" s="754">
        <f ca="1">DA36+COUNTIFS(DB$6:DB$53,DB36,DG$6:DG$53,"&lt;"&amp;DG36,$BC$6:$BC$53,INDEX(T_Equipos[Grupo],MATCH(BD36,T_Equipos[NombreEquipo],0)))</f>
        <v>4</v>
      </c>
      <c r="DI36" s="742"/>
      <c r="DJ36" s="742">
        <f t="shared" ca="1" si="53"/>
        <v>3</v>
      </c>
      <c r="DK36" s="742">
        <f t="shared" ca="1" si="24"/>
        <v>12</v>
      </c>
      <c r="DL36" s="742">
        <f t="shared" ca="1" si="33"/>
        <v>1</v>
      </c>
      <c r="DM36" s="736" t="str">
        <f t="shared" ca="1" si="34"/>
        <v>3.1</v>
      </c>
      <c r="DN36" s="742" cm="1">
        <f t="array" aca="1" ref="DN36" ca="1">OFFSET(Horarios!$P$3,DJ36-1,0,DL36,1)</f>
        <v>3</v>
      </c>
      <c r="DO36" s="742"/>
      <c r="DP36" s="742" t="s">
        <v>436</v>
      </c>
      <c r="DQ36" s="742" t="str">
        <f t="shared" ca="1" si="35"/>
        <v>Uruguay</v>
      </c>
      <c r="DR36" s="742"/>
      <c r="DS36" s="742"/>
      <c r="DT36" s="742" t="str">
        <f t="shared" ca="1" si="15"/>
        <v>Alemania-Curazao</v>
      </c>
      <c r="DU36" s="742"/>
      <c r="DV36" s="742"/>
      <c r="DW36" s="8"/>
    </row>
    <row r="37" spans="1:127" ht="16.05" customHeight="1">
      <c r="A37" s="743" t="str">
        <f ca="1">+Equipos!B18</f>
        <v>Alemania</v>
      </c>
      <c r="B37" s="740"/>
      <c r="C37" s="740"/>
      <c r="D37" s="742" t="str">
        <f t="shared" si="115"/>
        <v>Local</v>
      </c>
      <c r="E37" s="742" t="str">
        <f t="shared" ca="1" si="116"/>
        <v>P.1 (2)</v>
      </c>
      <c r="F37" s="742" t="str">
        <f t="shared" ca="1" si="117"/>
        <v>-</v>
      </c>
      <c r="G37" s="742"/>
      <c r="H37" s="742" t="str">
        <f t="shared" ca="1" si="118"/>
        <v>-</v>
      </c>
      <c r="I37" s="742" t="str">
        <f t="shared" ca="1" si="119"/>
        <v>-</v>
      </c>
      <c r="J37" s="742"/>
      <c r="K37" s="742" t="str">
        <f t="shared" ca="1" si="120"/>
        <v>-</v>
      </c>
      <c r="L37" s="742" t="str">
        <f t="shared" ca="1" si="121"/>
        <v>-</v>
      </c>
      <c r="M37" s="742"/>
      <c r="N37" s="742" t="str">
        <f t="shared" ca="1" si="122"/>
        <v>-</v>
      </c>
      <c r="O37" s="742" t="str">
        <f t="shared" ca="1" si="123"/>
        <v>-</v>
      </c>
      <c r="P37" s="742"/>
      <c r="Q37" s="742" t="str">
        <f t="shared" ca="1" si="124"/>
        <v>-</v>
      </c>
      <c r="R37" s="742" t="str">
        <f t="shared" ca="1" si="125"/>
        <v>-</v>
      </c>
      <c r="S37" s="742"/>
      <c r="T37" s="742" t="str">
        <f t="shared" ca="1" si="126"/>
        <v>-</v>
      </c>
      <c r="U37" s="742" t="str">
        <f t="shared" ca="1" si="127"/>
        <v>-</v>
      </c>
      <c r="V37" s="172"/>
      <c r="W37" s="816"/>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2</v>
      </c>
      <c r="BF37" s="746">
        <f t="shared" ca="1" si="26"/>
        <v>3</v>
      </c>
      <c r="BG37" s="746">
        <f t="shared" ca="1" si="17"/>
        <v>0</v>
      </c>
      <c r="BH37" s="746">
        <f t="shared" ca="1" si="18"/>
        <v>2</v>
      </c>
      <c r="BI37" s="746">
        <f t="shared" ca="1" si="19"/>
        <v>1</v>
      </c>
      <c r="BJ37" s="746">
        <f t="shared" ca="1" si="20"/>
        <v>3</v>
      </c>
      <c r="BK37" s="746">
        <f t="shared" ca="1" si="21"/>
        <v>4</v>
      </c>
      <c r="BL37" s="746">
        <f t="shared" ca="1" si="27"/>
        <v>-1</v>
      </c>
      <c r="BM37" s="746" t="str">
        <f t="shared" ca="1" si="22"/>
        <v>3H</v>
      </c>
      <c r="BN37" s="746" t="str">
        <f t="shared" ca="1" si="23"/>
        <v>3H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2</v>
      </c>
      <c r="BS37" s="755">
        <f ca="1">BP37+COUNTIFS($BQ$6:$BQ$53,BQ37,$BR$6:BR$53,"&gt;"&amp;BR37,$BC$6:$BC$53,INDEX(T_Equipos[Grupo],MATCH(BD37,T_Equipos[NombreEquipo],0)))</f>
        <v>3</v>
      </c>
      <c r="BT37" s="755" t="str">
        <f ca="1">IF(COUNTIFS($BS$6:$BS$53,BS37,$BC$6:$BC$53,INDEX(T_Equipos[Grupo],MATCH(BD37,T_Equipos[NombreEquipo],0)))=1,"-","P."&amp;BS37&amp;" ("&amp;COUNTIFS($BS$6:$BS$53,BS37,$BC$6:$BC$53,INDEX(T_Equipos[Grupo],MATCH(BD37,T_Equipos[NombreEquipo],0)))&amp;")")</f>
        <v>P.3 (2)</v>
      </c>
      <c r="BU37" s="756">
        <f t="shared" ca="1" si="36"/>
        <v>0</v>
      </c>
      <c r="BV37" s="756">
        <f t="shared" ca="1" si="37"/>
        <v>1</v>
      </c>
      <c r="BW37" s="756">
        <f t="shared" ca="1" si="38"/>
        <v>0</v>
      </c>
      <c r="BX37" s="756">
        <f t="shared" ca="1" si="39"/>
        <v>1</v>
      </c>
      <c r="BY37" s="756">
        <f ca="1">BS37+COUNTIFS($BT$6:$BT$53,BT37,$BX$6:BX$53,"&gt;"&amp;BX37,$BC$6:$BC$53,INDEX(T_Equipos[Grupo],MATCH(BD37,T_Equipos[NombreEquipo],0)))</f>
        <v>3</v>
      </c>
      <c r="BZ37" s="755" t="str">
        <f ca="1">IF(COUNTIFS($BY$6:$BY$53,BY37,$BC$6:$BC$53,INDEX(T_Equipos[Grupo],MATCH(BD37,T_Equipos[NombreEquipo],0)))=1,"-","P."&amp;BY37&amp;" ("&amp;COUNTIFS($BY$6:$BY$53,BY37,$BC$6:$BC$53,INDEX(T_Equipos[Grupo],MATCH(BD37,T_Equipos[NombreEquipo],0)))&amp;")")</f>
        <v>P.3 (2)</v>
      </c>
      <c r="CA37" s="756">
        <f t="shared" ca="1" si="40"/>
        <v>1</v>
      </c>
      <c r="CB37" s="756">
        <f t="shared" ca="1" si="41"/>
        <v>1</v>
      </c>
      <c r="CC37" s="756">
        <f t="shared" ca="1" si="42"/>
        <v>0</v>
      </c>
      <c r="CD37" s="756">
        <f ca="1">BY37+COUNTIFS($BZ$6:$BZ$53,BZ37,$CC$6:CC$53,"&gt;"&amp;CC37,$BC$6:$BC$53,INDEX(T_Equipos[Grupo],MATCH(BD37,T_Equipos[NombreEquipo],0)))</f>
        <v>3</v>
      </c>
      <c r="CE37" s="755" t="str">
        <f ca="1">IF(COUNTIFS($CD$6:$CD$53,CD37,$BC$6:$BC$53,INDEX(T_Equipos[Grupo],MATCH(BD37,T_Equipos[NombreEquipo],0)))=1,"-","P."&amp;CD37&amp;" ("&amp;COUNTIFS($CD$6:$CD$53,CD37,$BC$6:$BC$53,INDEX(T_Equipos[Grupo],MATCH(BD37,T_Equipos[NombreEquipo],0)))&amp;")")</f>
        <v>P.3 (2)</v>
      </c>
      <c r="CF37" s="756">
        <f t="shared" ca="1" si="43"/>
        <v>1</v>
      </c>
      <c r="CG37" s="756">
        <f ca="1">CD37+COUNTIFS($CE$6:$CE$53,CE37,$CF$6:CF$53,"&gt;"&amp;CF37,$BC$6:$BC$53,INDEX(T_Equipos[Grupo],MATCH(BD37,T_Equipos[NombreEquipo],0)))</f>
        <v>3</v>
      </c>
      <c r="CH37" s="755" t="str">
        <f ca="1">IF(COUNTIFS($CG$6:$CG$53,CG37,$BC$6:$BC$53,INDEX(T_Equipos[Grupo],MATCH(BD37,T_Equipos[NombreEquipo],0)))=1,"-","P."&amp;CG37&amp;" ("&amp;COUNTIFS($CG$6:$CG$53,CG37,$BC$6:$BC$53,INDEX(T_Equipos[Grupo],MATCH(BD37,T_Equipos[NombreEquipo],0)))&amp;")")</f>
        <v>P.3 (2)</v>
      </c>
      <c r="CI37" s="756">
        <f t="shared" ca="1" si="44"/>
        <v>0</v>
      </c>
      <c r="CJ37" s="756">
        <f t="shared" ca="1" si="45"/>
        <v>1</v>
      </c>
      <c r="CK37" s="756">
        <f t="shared" ca="1" si="46"/>
        <v>0</v>
      </c>
      <c r="CL37" s="756">
        <f t="shared" ca="1" si="47"/>
        <v>1</v>
      </c>
      <c r="CM37" s="756">
        <f ca="1">CG37+COUNTIFS($CH$6:$CH$53,CH37,$CL$6:CL$53,"&gt;"&amp;CL37,$BC$6:$BC$53,INDEX(T_Equipos[Grupo],MATCH(BD37,T_Equipos[NombreEquipo],0)))</f>
        <v>3</v>
      </c>
      <c r="CN37" s="755" t="str">
        <f ca="1">IF(COUNTIFS($CM$6:$CM$53,CM37,$BC$6:$BC$53,INDEX(T_Equipos[Grupo],MATCH(BD37,T_Equipos[NombreEquipo],0)))=1,"-","P."&amp;CM37&amp;" ("&amp;COUNTIFS($CM$6:$CM$53,CM37,$BC$6:$BC$53,INDEX(T_Equipos[Grupo],MATCH(BD37,T_Equipos[NombreEquipo],0)))&amp;")")</f>
        <v>P.3 (2)</v>
      </c>
      <c r="CO37" s="756">
        <f t="shared" ca="1" si="48"/>
        <v>1</v>
      </c>
      <c r="CP37" s="756">
        <f t="shared" ca="1" si="49"/>
        <v>1</v>
      </c>
      <c r="CQ37" s="756">
        <f t="shared" ca="1" si="50"/>
        <v>0</v>
      </c>
      <c r="CR37" s="756">
        <f ca="1">CM37+COUNTIFS($CN$6:$CN$53,CN37,$CQ$6:CQ$53,"&gt;"&amp;CQ37,$BC$6:$BC$53,INDEX(T_Equipos[Grupo],MATCH(BD37,T_Equipos[NombreEquipo],0)))</f>
        <v>3</v>
      </c>
      <c r="CS37" s="755" t="str">
        <f ca="1">IF(COUNTIFS($CR$6:$CR$53,CR37,$BC$6:$BC$53,INDEX(T_Equipos[Grupo],MATCH(BD37,T_Equipos[NombreEquipo],0)))=1,"-","P."&amp;CR37&amp;" ("&amp;COUNTIFS($CR$6:$CR$53,CR37,$BC$6:$BC$53,INDEX(T_Equipos[Grupo],MATCH(BD37,T_Equipos[NombreEquipo],0)))&amp;")")</f>
        <v>P.3 (2)</v>
      </c>
      <c r="CT37" s="756">
        <f t="shared" ca="1" si="51"/>
        <v>1</v>
      </c>
      <c r="CU37" s="756">
        <f ca="1">CR37+COUNTIFS($CS$6:$CS$53,CS37,$CT$6:CT$53,"&gt;"&amp;CT37,$BC$6:$BC$53,INDEX(T_Equipos[Grupo],MATCH(BD37,T_Equipos[NombreEquipo],0)))</f>
        <v>3</v>
      </c>
      <c r="CV37" s="755" t="str">
        <f ca="1">IF(COUNTIFS($CU$6:$CU$53,CU37,$BC$6:$BC$53,INDEX(T_Equipos[Grupo],MATCH(BD37,T_Equipos[NombreEquipo],0)))=1,"-","P."&amp;CU37&amp;" ("&amp;COUNTIFS($CU$6:$CU$53,CU37,$BC$6:$BC$53,INDEX(T_Equipos[Grupo],MATCH(BD37,T_Equipos[NombreEquipo],0)))&amp;")")</f>
        <v>P.3 (2)</v>
      </c>
      <c r="CW37" s="755">
        <f t="shared" ca="1" si="30"/>
        <v>-1</v>
      </c>
      <c r="CX37" s="755">
        <f ca="1">CU37+COUNTIFS($CV$6:$CV$53,CV37,$CW$6:CW$53,"&gt;"&amp;CW37,$BC$6:$BC$53,INDEX(T_Equipos[Grupo],MATCH(BD37,T_Equipos[NombreEquipo],0)))</f>
        <v>3</v>
      </c>
      <c r="CY37" s="755" t="str">
        <f ca="1">IF(COUNTIFS($CX$6:$CX$53,CX37,$BC$6:$BC$53,INDEX(T_Equipos[Grupo],MATCH(BD37,T_Equipos[NombreEquipo],0)))=1,"-","P."&amp;CX37&amp;" ("&amp;COUNTIFS($CX$6:$CX$53,CX37,$BC$6:$BC$53,INDEX(T_Equipos[Grupo],MATCH(BD37,T_Equipos[NombreEquipo],0)))&amp;")")</f>
        <v>-</v>
      </c>
      <c r="CZ37" s="755" t="str">
        <f t="shared" ca="1" si="31"/>
        <v>-</v>
      </c>
      <c r="DA37" s="756">
        <f ca="1">CX37+COUNTIFS($CY$6:$CY$53,CY37,$CZ$6:CZ$53,"&gt;"&amp;CZ37,$BC$6:$BC$53,INDEX(T_Equipos[Grupo],MATCH(BD37,T_Equipos[NombreEquipo],0)))</f>
        <v>3</v>
      </c>
      <c r="DB37" s="755" t="str">
        <f ca="1">IF(COUNTIFS($DA$6:$DA$53,DA37,$BC$6:$BC$53,INDEX(T_Equipos[Grupo],MATCH(BD37,T_Equipos[NombreEquipo],0)))=1,"-","P."&amp;DA37&amp;" ("&amp;COUNTIFS($DA$6:$DA$53,DA37,$BC$6:$BC$53,INDEX(T_Equipos[Grupo],MATCH(BD37,T_Equipos[NombreEquipo],0)))&amp;")")</f>
        <v>-</v>
      </c>
      <c r="DC37" s="754" t="str">
        <f ca="1">IF(DB37="-","-",COUNTIFS(T_Equipos[Rank],"&lt;"&amp;INDEX(T_Equipos[Rank],MATCH(BD37,T_Equipos[NombreEquipo],0)),$BC$6:$BC$53,INDEX(T_Equipos[Grupo],MATCH(BD37,T_Equipos[NombreEquipo],0)))+1)</f>
        <v>-</v>
      </c>
      <c r="DD37" s="754">
        <f ca="1">DA37+COUNTIFS($DB$6:$DB$53,DB37,$DC$6:DC$53,"&lt;"&amp;DC37,$BC$6:$BC$53,INDEX(T_Equipos[Grupo],MATCH(BD37,T_Equipos[NombreEquipo],0)))</f>
        <v>3</v>
      </c>
      <c r="DE37" s="754"/>
      <c r="DF37" s="754">
        <f t="shared" ca="1" si="52"/>
        <v>3</v>
      </c>
      <c r="DG37" s="754" t="str">
        <f ca="1">IF(DB37="-","-",COUNTIFS(DF$6:DF$53,"&lt;"&amp;DF37,$BC$6:$BC$53,INDEX(T_Equipos[Grupo],MATCH(BD37,T_Equipos[NombreEquipo],0))))</f>
        <v>-</v>
      </c>
      <c r="DH37" s="754">
        <f ca="1">DA37+COUNTIFS(DB$6:DB$53,DB37,DG$6:DG$53,"&lt;"&amp;DG37,$BC$6:$BC$53,INDEX(T_Equipos[Grupo],MATCH(BD37,T_Equipos[NombreEquipo],0)))</f>
        <v>3</v>
      </c>
      <c r="DI37" s="742"/>
      <c r="DJ37" s="742">
        <f t="shared" ca="1" si="53"/>
        <v>4</v>
      </c>
      <c r="DK37" s="742">
        <f t="shared" ca="1" si="24"/>
        <v>12</v>
      </c>
      <c r="DL37" s="742">
        <f t="shared" ca="1" si="33"/>
        <v>1</v>
      </c>
      <c r="DM37" s="736" t="str">
        <f t="shared" ca="1" si="34"/>
        <v>4.1</v>
      </c>
      <c r="DN37" s="742" cm="1">
        <f t="array" aca="1" ref="DN37" ca="1">OFFSET(Horarios!$P$3,DJ37-1,0,DL37,1)</f>
        <v>4</v>
      </c>
      <c r="DO37" s="742"/>
      <c r="DP37" s="742" t="s">
        <v>672</v>
      </c>
      <c r="DQ37" s="742" t="str">
        <f t="shared" ca="1" si="35"/>
        <v>Arabia Saudita</v>
      </c>
      <c r="DR37" s="742"/>
      <c r="DS37" s="742"/>
      <c r="DT37" s="742" t="str">
        <f t="shared" ca="1" si="15"/>
        <v>Costa de Marfil-Ecuador</v>
      </c>
      <c r="DU37" s="742"/>
      <c r="DV37" s="742"/>
      <c r="DW37" s="8"/>
    </row>
    <row r="38" spans="1:127" ht="16.05" customHeight="1">
      <c r="A38" s="743" t="str">
        <f ca="1">+Equipos!B19</f>
        <v>Curazao</v>
      </c>
      <c r="B38" s="740"/>
      <c r="C38" s="744"/>
      <c r="D38" s="742" t="str">
        <f t="shared" si="115"/>
        <v>Local</v>
      </c>
      <c r="E38" s="742" t="str">
        <f t="shared" ca="1" si="116"/>
        <v>P.1 (2)</v>
      </c>
      <c r="F38" s="742" t="str">
        <f t="shared" ca="1" si="117"/>
        <v>P.1 (2)</v>
      </c>
      <c r="G38" s="742"/>
      <c r="H38" s="742" t="str">
        <f t="shared" ca="1" si="118"/>
        <v>-</v>
      </c>
      <c r="I38" s="742" t="str">
        <f t="shared" ca="1" si="119"/>
        <v>-</v>
      </c>
      <c r="J38" s="742"/>
      <c r="K38" s="742" t="str">
        <f t="shared" ca="1" si="120"/>
        <v>-</v>
      </c>
      <c r="L38" s="742" t="str">
        <f t="shared" ca="1" si="121"/>
        <v>-</v>
      </c>
      <c r="M38" s="742"/>
      <c r="N38" s="742" t="str">
        <f t="shared" ca="1" si="122"/>
        <v>-</v>
      </c>
      <c r="O38" s="742" t="str">
        <f t="shared" ca="1" si="123"/>
        <v>-</v>
      </c>
      <c r="P38" s="742"/>
      <c r="Q38" s="742" t="str">
        <f t="shared" ca="1" si="124"/>
        <v>-</v>
      </c>
      <c r="R38" s="742" t="str">
        <f t="shared" ca="1" si="125"/>
        <v>-</v>
      </c>
      <c r="S38" s="742"/>
      <c r="T38" s="742" t="str">
        <f t="shared" ca="1" si="126"/>
        <v>-</v>
      </c>
      <c r="U38" s="742" t="str">
        <f t="shared" ca="1" si="127"/>
        <v>-</v>
      </c>
      <c r="V38" s="172"/>
      <c r="W38" s="816"/>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9</v>
      </c>
      <c r="BF38" s="746">
        <f t="shared" ca="1" si="26"/>
        <v>3</v>
      </c>
      <c r="BG38" s="746">
        <f t="shared" ca="1" si="17"/>
        <v>3</v>
      </c>
      <c r="BH38" s="746">
        <f t="shared" ca="1" si="18"/>
        <v>0</v>
      </c>
      <c r="BI38" s="746">
        <f t="shared" ca="1" si="19"/>
        <v>0</v>
      </c>
      <c r="BJ38" s="746">
        <f t="shared" ca="1" si="20"/>
        <v>10</v>
      </c>
      <c r="BK38" s="746">
        <f t="shared" ca="1" si="21"/>
        <v>2</v>
      </c>
      <c r="BL38" s="746">
        <f t="shared" ca="1" si="27"/>
        <v>8</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9</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v>
      </c>
      <c r="BU38" s="756" t="str">
        <f t="shared" ca="1" si="36"/>
        <v>-</v>
      </c>
      <c r="BV38" s="756" t="str">
        <f t="shared" ca="1" si="37"/>
        <v>-</v>
      </c>
      <c r="BW38" s="756" t="str">
        <f t="shared" ca="1" si="38"/>
        <v>-</v>
      </c>
      <c r="BX38" s="756" t="str">
        <f t="shared" ca="1" si="39"/>
        <v>-</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v>
      </c>
      <c r="CA38" s="756" t="str">
        <f t="shared" ca="1" si="40"/>
        <v>-</v>
      </c>
      <c r="CB38" s="756" t="str">
        <f t="shared" ca="1" si="41"/>
        <v>-</v>
      </c>
      <c r="CC38" s="756" t="str">
        <f t="shared" ca="1" si="42"/>
        <v>-</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v>
      </c>
      <c r="CF38" s="756" t="str">
        <f t="shared" ca="1" si="43"/>
        <v>-</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v>
      </c>
      <c r="CI38" s="756" t="str">
        <f t="shared" ca="1" si="44"/>
        <v>-</v>
      </c>
      <c r="CJ38" s="756" t="str">
        <f t="shared" ca="1" si="45"/>
        <v>-</v>
      </c>
      <c r="CK38" s="756" t="str">
        <f t="shared" ca="1" si="46"/>
        <v>-</v>
      </c>
      <c r="CL38" s="756" t="str">
        <f t="shared" ca="1" si="47"/>
        <v>-</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v>
      </c>
      <c r="CO38" s="756" t="str">
        <f t="shared" ca="1" si="48"/>
        <v>-</v>
      </c>
      <c r="CP38" s="756" t="str">
        <f t="shared" ca="1" si="49"/>
        <v>-</v>
      </c>
      <c r="CQ38" s="756" t="str">
        <f t="shared" ca="1" si="50"/>
        <v>-</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v>
      </c>
      <c r="CT38" s="756" t="str">
        <f t="shared" ca="1" si="51"/>
        <v>-</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v>
      </c>
      <c r="CW38" s="755" t="str">
        <f t="shared" ca="1" si="30"/>
        <v>-</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1</v>
      </c>
      <c r="DE38" s="754"/>
      <c r="DF38" s="754">
        <f t="shared" ca="1" si="52"/>
        <v>1</v>
      </c>
      <c r="DG38" s="754" t="str">
        <f ca="1">IF(DB38="-","-",COUNTIFS(DF$6:DF$53,"&lt;"&amp;DF38,$BC$6:$BC$53,INDEX(T_Equipos[Grupo],MATCH(BD38,T_Equipos[NombreEquipo],0))))</f>
        <v>-</v>
      </c>
      <c r="DH38" s="754">
        <f ca="1">DA38+COUNTIFS(DB$6:DB$53,DB38,DG$6:DG$53,"&lt;"&amp;DG38,$BC$6:$BC$53,INDEX(T_Equipos[Grupo],MATCH(BD38,T_Equipos[NombreEquipo],0)))</f>
        <v>1</v>
      </c>
      <c r="DI38" s="742"/>
      <c r="DJ38" s="742">
        <f t="shared" ca="1" si="53"/>
        <v>1</v>
      </c>
      <c r="DK38" s="742">
        <f t="shared" ca="1" si="24"/>
        <v>12</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6.05" customHeight="1">
      <c r="A39" s="743" t="str">
        <f ca="1">+Equipos!B20</f>
        <v>Costa de Marfil</v>
      </c>
      <c r="B39" s="740"/>
      <c r="C39" s="742"/>
      <c r="D39" s="742" t="str">
        <f t="shared" si="115"/>
        <v>Empate</v>
      </c>
      <c r="E39" s="742" t="str">
        <f t="shared" ca="1" si="116"/>
        <v>-</v>
      </c>
      <c r="F39" s="742" t="str">
        <f t="shared" ca="1" si="117"/>
        <v>-</v>
      </c>
      <c r="G39" s="742"/>
      <c r="H39" s="742" t="str">
        <f t="shared" ca="1" si="118"/>
        <v>-</v>
      </c>
      <c r="I39" s="742" t="str">
        <f t="shared" ca="1" si="119"/>
        <v>-</v>
      </c>
      <c r="J39" s="742"/>
      <c r="K39" s="742" t="str">
        <f t="shared" ca="1" si="120"/>
        <v>-</v>
      </c>
      <c r="L39" s="742" t="str">
        <f t="shared" ca="1" si="121"/>
        <v>-</v>
      </c>
      <c r="M39" s="742"/>
      <c r="N39" s="742" t="str">
        <f t="shared" ca="1" si="122"/>
        <v>-</v>
      </c>
      <c r="O39" s="742" t="str">
        <f t="shared" ca="1" si="123"/>
        <v>-</v>
      </c>
      <c r="P39" s="742"/>
      <c r="Q39" s="742" t="str">
        <f t="shared" ca="1" si="124"/>
        <v>-</v>
      </c>
      <c r="R39" s="742" t="str">
        <f t="shared" ca="1" si="125"/>
        <v>-</v>
      </c>
      <c r="S39" s="742"/>
      <c r="T39" s="742" t="str">
        <f t="shared" ca="1" si="126"/>
        <v>-</v>
      </c>
      <c r="U39" s="742" t="str">
        <f t="shared" ca="1" si="127"/>
        <v>-</v>
      </c>
      <c r="V39" s="172"/>
      <c r="W39" s="816"/>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3</v>
      </c>
      <c r="BF39" s="746">
        <f t="shared" ca="1" si="26"/>
        <v>3</v>
      </c>
      <c r="BG39" s="746">
        <f t="shared" ca="1" si="17"/>
        <v>1</v>
      </c>
      <c r="BH39" s="746">
        <f t="shared" ca="1" si="18"/>
        <v>0</v>
      </c>
      <c r="BI39" s="746">
        <f t="shared" ca="1" si="19"/>
        <v>2</v>
      </c>
      <c r="BJ39" s="746">
        <f t="shared" ca="1" si="20"/>
        <v>8</v>
      </c>
      <c r="BK39" s="746">
        <f t="shared" ca="1" si="21"/>
        <v>6</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3</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v>
      </c>
      <c r="BU39" s="756" t="str">
        <f t="shared" ca="1" si="36"/>
        <v>-</v>
      </c>
      <c r="BV39" s="756" t="str">
        <f t="shared" ca="1" si="37"/>
        <v>-</v>
      </c>
      <c r="BW39" s="756" t="str">
        <f t="shared" ca="1" si="38"/>
        <v>-</v>
      </c>
      <c r="BX39" s="756" t="str">
        <f t="shared" ca="1" si="39"/>
        <v>-</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v>
      </c>
      <c r="CA39" s="756" t="str">
        <f t="shared" ca="1" si="40"/>
        <v>-</v>
      </c>
      <c r="CB39" s="756" t="str">
        <f t="shared" ca="1" si="41"/>
        <v>-</v>
      </c>
      <c r="CC39" s="756" t="str">
        <f t="shared" ca="1" si="42"/>
        <v>-</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v>
      </c>
      <c r="CF39" s="756" t="str">
        <f t="shared" ca="1" si="43"/>
        <v>-</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v>
      </c>
      <c r="CI39" s="756" t="str">
        <f t="shared" ca="1" si="44"/>
        <v>-</v>
      </c>
      <c r="CJ39" s="756" t="str">
        <f t="shared" ca="1" si="45"/>
        <v>-</v>
      </c>
      <c r="CK39" s="756" t="str">
        <f t="shared" ca="1" si="46"/>
        <v>-</v>
      </c>
      <c r="CL39" s="756" t="str">
        <f t="shared" ca="1" si="47"/>
        <v>-</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v>
      </c>
      <c r="CO39" s="756" t="str">
        <f t="shared" ca="1" si="48"/>
        <v>-</v>
      </c>
      <c r="CP39" s="756" t="str">
        <f t="shared" ca="1" si="49"/>
        <v>-</v>
      </c>
      <c r="CQ39" s="756" t="str">
        <f t="shared" ca="1" si="50"/>
        <v>-</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v>
      </c>
      <c r="CT39" s="756" t="str">
        <f t="shared" ca="1" si="51"/>
        <v>-</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v>
      </c>
      <c r="CW39" s="755" t="str">
        <f t="shared" ca="1" si="30"/>
        <v>-</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12</v>
      </c>
      <c r="DL39" s="742">
        <f t="shared" ca="1" si="33"/>
        <v>1</v>
      </c>
      <c r="DM39" s="736" t="str">
        <f t="shared" ca="1" si="34"/>
        <v>2.1</v>
      </c>
      <c r="DN39" s="742" cm="1">
        <f t="array" aca="1" ref="DN39" ca="1">OFFSET(Horarios!$P$3,DJ39-1,0,DL39,1)</f>
        <v>2</v>
      </c>
      <c r="DO39" s="742"/>
      <c r="DP39" s="742" t="s">
        <v>674</v>
      </c>
      <c r="DQ39" s="742" t="str">
        <f t="shared" ca="1" si="35"/>
        <v>Noruega</v>
      </c>
      <c r="DR39" s="742"/>
      <c r="DS39" s="742"/>
      <c r="DT39" s="742" t="str">
        <f t="shared" ca="1" si="15"/>
        <v>Ecuador-Curazao</v>
      </c>
      <c r="DU39" s="742"/>
      <c r="DV39" s="742"/>
      <c r="DW39" s="8"/>
    </row>
    <row r="40" spans="1:127" ht="16.05" customHeight="1">
      <c r="A40" s="743" t="str">
        <f ca="1">+Equipos!B21</f>
        <v>Ecuador</v>
      </c>
      <c r="B40" s="740"/>
      <c r="C40" s="742"/>
      <c r="D40" s="742" t="str">
        <f t="shared" si="115"/>
        <v>Visitante</v>
      </c>
      <c r="E40" s="742" t="str">
        <f t="shared" ca="1" si="116"/>
        <v>-</v>
      </c>
      <c r="F40" s="742" t="str">
        <f t="shared" ca="1" si="117"/>
        <v>P.1 (2)</v>
      </c>
      <c r="G40" s="742"/>
      <c r="H40" s="742" t="str">
        <f t="shared" ca="1" si="118"/>
        <v>-</v>
      </c>
      <c r="I40" s="742" t="str">
        <f t="shared" ca="1" si="119"/>
        <v>-</v>
      </c>
      <c r="J40" s="742"/>
      <c r="K40" s="742" t="str">
        <f t="shared" ca="1" si="120"/>
        <v>-</v>
      </c>
      <c r="L40" s="742" t="str">
        <f t="shared" ca="1" si="121"/>
        <v>-</v>
      </c>
      <c r="M40" s="742"/>
      <c r="N40" s="742" t="str">
        <f t="shared" ca="1" si="122"/>
        <v>-</v>
      </c>
      <c r="O40" s="742" t="str">
        <f t="shared" ca="1" si="123"/>
        <v>-</v>
      </c>
      <c r="P40" s="742"/>
      <c r="Q40" s="742" t="str">
        <f t="shared" ca="1" si="124"/>
        <v>-</v>
      </c>
      <c r="R40" s="742" t="str">
        <f t="shared" ca="1" si="125"/>
        <v>-</v>
      </c>
      <c r="S40" s="742"/>
      <c r="T40" s="742" t="str">
        <f t="shared" ca="1" si="126"/>
        <v>-</v>
      </c>
      <c r="U40" s="742" t="str">
        <f t="shared" ca="1" si="127"/>
        <v>-</v>
      </c>
      <c r="V40" s="172"/>
      <c r="W40" s="816"/>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3</v>
      </c>
      <c r="BG40" s="746">
        <f t="shared" ca="1" si="17"/>
        <v>0</v>
      </c>
      <c r="BH40" s="746">
        <f t="shared" ca="1" si="18"/>
        <v>0</v>
      </c>
      <c r="BI40" s="746">
        <f t="shared" ca="1" si="19"/>
        <v>3</v>
      </c>
      <c r="BJ40" s="746">
        <f t="shared" ca="1" si="20"/>
        <v>1</v>
      </c>
      <c r="BK40" s="746">
        <f t="shared" ca="1" si="21"/>
        <v>12</v>
      </c>
      <c r="BL40" s="746">
        <f t="shared" ca="1" si="27"/>
        <v>-11</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4</v>
      </c>
      <c r="BT40" s="755" t="str">
        <f ca="1">IF(COUNTIFS($BS$6:$BS$53,BS40,$BC$6:$BC$53,INDEX(T_Equipos[Grupo],MATCH(BD40,T_Equipos[NombreEquipo],0)))=1,"-","P."&amp;BS40&amp;" ("&amp;COUNTIFS($BS$6:$BS$53,BS40,$BC$6:$BC$53,INDEX(T_Equipos[Grupo],MATCH(BD40,T_Equipos[NombreEquipo],0)))&amp;")")</f>
        <v>-</v>
      </c>
      <c r="BU40" s="756" t="str">
        <f t="shared" ca="1" si="36"/>
        <v>-</v>
      </c>
      <c r="BV40" s="756" t="str">
        <f t="shared" ca="1" si="37"/>
        <v>-</v>
      </c>
      <c r="BW40" s="756" t="str">
        <f t="shared" ca="1" si="38"/>
        <v>-</v>
      </c>
      <c r="BX40" s="756" t="str">
        <f t="shared" ca="1" si="39"/>
        <v>-</v>
      </c>
      <c r="BY40" s="756">
        <f ca="1">BS40+COUNTIFS($BT$6:$BT$53,BT40,$BX$6:BX$53,"&gt;"&amp;BX40,$BC$6:$BC$53,INDEX(T_Equipos[Grupo],MATCH(BD40,T_Equipos[NombreEquipo],0)))</f>
        <v>4</v>
      </c>
      <c r="BZ40" s="755" t="str">
        <f ca="1">IF(COUNTIFS($BY$6:$BY$53,BY40,$BC$6:$BC$53,INDEX(T_Equipos[Grupo],MATCH(BD40,T_Equipos[NombreEquipo],0)))=1,"-","P."&amp;BY40&amp;" ("&amp;COUNTIFS($BY$6:$BY$53,BY40,$BC$6:$BC$53,INDEX(T_Equipos[Grupo],MATCH(BD40,T_Equipos[NombreEquipo],0)))&amp;")")</f>
        <v>-</v>
      </c>
      <c r="CA40" s="756" t="str">
        <f t="shared" ca="1" si="40"/>
        <v>-</v>
      </c>
      <c r="CB40" s="756" t="str">
        <f t="shared" ca="1" si="41"/>
        <v>-</v>
      </c>
      <c r="CC40" s="756" t="str">
        <f t="shared" ca="1" si="42"/>
        <v>-</v>
      </c>
      <c r="CD40" s="756">
        <f ca="1">BY40+COUNTIFS($BZ$6:$BZ$53,BZ40,$CC$6:CC$53,"&gt;"&amp;CC40,$BC$6:$BC$53,INDEX(T_Equipos[Grupo],MATCH(BD40,T_Equipos[NombreEquipo],0)))</f>
        <v>4</v>
      </c>
      <c r="CE40" s="755" t="str">
        <f ca="1">IF(COUNTIFS($CD$6:$CD$53,CD40,$BC$6:$BC$53,INDEX(T_Equipos[Grupo],MATCH(BD40,T_Equipos[NombreEquipo],0)))=1,"-","P."&amp;CD40&amp;" ("&amp;COUNTIFS($CD$6:$CD$53,CD40,$BC$6:$BC$53,INDEX(T_Equipos[Grupo],MATCH(BD40,T_Equipos[NombreEquipo],0)))&amp;")")</f>
        <v>-</v>
      </c>
      <c r="CF40" s="756" t="str">
        <f t="shared" ca="1" si="43"/>
        <v>-</v>
      </c>
      <c r="CG40" s="756">
        <f ca="1">CD40+COUNTIFS($CE$6:$CE$53,CE40,$CF$6:CF$53,"&gt;"&amp;CF40,$BC$6:$BC$53,INDEX(T_Equipos[Grupo],MATCH(BD40,T_Equipos[NombreEquipo],0)))</f>
        <v>4</v>
      </c>
      <c r="CH40" s="755" t="str">
        <f ca="1">IF(COUNTIFS($CG$6:$CG$53,CG40,$BC$6:$BC$53,INDEX(T_Equipos[Grupo],MATCH(BD40,T_Equipos[NombreEquipo],0)))=1,"-","P."&amp;CG40&amp;" ("&amp;COUNTIFS($CG$6:$CG$53,CG40,$BC$6:$BC$53,INDEX(T_Equipos[Grupo],MATCH(BD40,T_Equipos[NombreEquipo],0)))&amp;")")</f>
        <v>-</v>
      </c>
      <c r="CI40" s="756" t="str">
        <f t="shared" ca="1" si="44"/>
        <v>-</v>
      </c>
      <c r="CJ40" s="756" t="str">
        <f t="shared" ca="1" si="45"/>
        <v>-</v>
      </c>
      <c r="CK40" s="756" t="str">
        <f t="shared" ca="1" si="46"/>
        <v>-</v>
      </c>
      <c r="CL40" s="756" t="str">
        <f t="shared" ca="1" si="47"/>
        <v>-</v>
      </c>
      <c r="CM40" s="756">
        <f ca="1">CG40+COUNTIFS($CH$6:$CH$53,CH40,$CL$6:CL$53,"&gt;"&amp;CL40,$BC$6:$BC$53,INDEX(T_Equipos[Grupo],MATCH(BD40,T_Equipos[NombreEquipo],0)))</f>
        <v>4</v>
      </c>
      <c r="CN40" s="755" t="str">
        <f ca="1">IF(COUNTIFS($CM$6:$CM$53,CM40,$BC$6:$BC$53,INDEX(T_Equipos[Grupo],MATCH(BD40,T_Equipos[NombreEquipo],0)))=1,"-","P."&amp;CM40&amp;" ("&amp;COUNTIFS($CM$6:$CM$53,CM40,$BC$6:$BC$53,INDEX(T_Equipos[Grupo],MATCH(BD40,T_Equipos[NombreEquipo],0)))&amp;")")</f>
        <v>-</v>
      </c>
      <c r="CO40" s="756" t="str">
        <f t="shared" ca="1" si="48"/>
        <v>-</v>
      </c>
      <c r="CP40" s="756" t="str">
        <f t="shared" ca="1" si="49"/>
        <v>-</v>
      </c>
      <c r="CQ40" s="756" t="str">
        <f t="shared" ca="1" si="50"/>
        <v>-</v>
      </c>
      <c r="CR40" s="756">
        <f ca="1">CM40+COUNTIFS($CN$6:$CN$53,CN40,$CQ$6:CQ$53,"&gt;"&amp;CQ40,$BC$6:$BC$53,INDEX(T_Equipos[Grupo],MATCH(BD40,T_Equipos[NombreEquipo],0)))</f>
        <v>4</v>
      </c>
      <c r="CS40" s="755" t="str">
        <f ca="1">IF(COUNTIFS($CR$6:$CR$53,CR40,$BC$6:$BC$53,INDEX(T_Equipos[Grupo],MATCH(BD40,T_Equipos[NombreEquipo],0)))=1,"-","P."&amp;CR40&amp;" ("&amp;COUNTIFS($CR$6:$CR$53,CR40,$BC$6:$BC$53,INDEX(T_Equipos[Grupo],MATCH(BD40,T_Equipos[NombreEquipo],0)))&amp;")")</f>
        <v>-</v>
      </c>
      <c r="CT40" s="756" t="str">
        <f t="shared" ca="1" si="51"/>
        <v>-</v>
      </c>
      <c r="CU40" s="756">
        <f ca="1">CR40+COUNTIFS($CS$6:$CS$53,CS40,$CT$6:CT$53,"&gt;"&amp;CT40,$BC$6:$BC$53,INDEX(T_Equipos[Grupo],MATCH(BD40,T_Equipos[NombreEquipo],0)))</f>
        <v>4</v>
      </c>
      <c r="CV40" s="755" t="str">
        <f ca="1">IF(COUNTIFS($CU$6:$CU$53,CU40,$BC$6:$BC$53,INDEX(T_Equipos[Grupo],MATCH(BD40,T_Equipos[NombreEquipo],0)))=1,"-","P."&amp;CU40&amp;" ("&amp;COUNTIFS($CU$6:$CU$53,CU40,$BC$6:$BC$53,INDEX(T_Equipos[Grupo],MATCH(BD40,T_Equipos[NombreEquipo],0)))&amp;")")</f>
        <v>-</v>
      </c>
      <c r="CW40" s="755" t="str">
        <f t="shared" ca="1" si="30"/>
        <v>-</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12</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6.95" customHeight="1" thickBot="1">
      <c r="A41" s="737"/>
      <c r="B41" s="737"/>
      <c r="C41" s="737"/>
      <c r="D41" s="742" t="str">
        <f t="shared" si="115"/>
        <v>Local</v>
      </c>
      <c r="E41" s="742" t="str">
        <f t="shared" ca="1" si="116"/>
        <v>-</v>
      </c>
      <c r="F41" s="742" t="str">
        <f t="shared" ca="1" si="117"/>
        <v>P.1 (2)</v>
      </c>
      <c r="G41" s="742"/>
      <c r="H41" s="742" t="str">
        <f t="shared" ca="1" si="118"/>
        <v>-</v>
      </c>
      <c r="I41" s="742" t="str">
        <f t="shared" ca="1" si="119"/>
        <v>-</v>
      </c>
      <c r="J41" s="742"/>
      <c r="K41" s="742" t="str">
        <f t="shared" ca="1" si="120"/>
        <v>-</v>
      </c>
      <c r="L41" s="742" t="str">
        <f t="shared" ca="1" si="121"/>
        <v>-</v>
      </c>
      <c r="M41" s="742"/>
      <c r="N41" s="742" t="str">
        <f t="shared" ca="1" si="122"/>
        <v>-</v>
      </c>
      <c r="O41" s="742" t="str">
        <f t="shared" ca="1" si="123"/>
        <v>-</v>
      </c>
      <c r="P41" s="742"/>
      <c r="Q41" s="742" t="str">
        <f t="shared" ca="1" si="124"/>
        <v>-</v>
      </c>
      <c r="R41" s="742" t="str">
        <f t="shared" ca="1" si="125"/>
        <v>-</v>
      </c>
      <c r="S41" s="742"/>
      <c r="T41" s="742" t="str">
        <f t="shared" ca="1" si="126"/>
        <v>-</v>
      </c>
      <c r="U41" s="742" t="str">
        <f t="shared" ca="1" si="127"/>
        <v>-</v>
      </c>
      <c r="V41" s="172"/>
      <c r="W41" s="817"/>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6</v>
      </c>
      <c r="BF41" s="746">
        <f t="shared" ca="1" si="26"/>
        <v>3</v>
      </c>
      <c r="BG41" s="746">
        <f t="shared" ca="1" si="17"/>
        <v>2</v>
      </c>
      <c r="BH41" s="746">
        <f t="shared" ca="1" si="18"/>
        <v>0</v>
      </c>
      <c r="BI41" s="746">
        <f t="shared" ca="1" si="19"/>
        <v>1</v>
      </c>
      <c r="BJ41" s="746">
        <f t="shared" ca="1" si="20"/>
        <v>8</v>
      </c>
      <c r="BK41" s="746">
        <f t="shared" ca="1" si="21"/>
        <v>7</v>
      </c>
      <c r="BL41" s="746">
        <f t="shared" ca="1" si="27"/>
        <v>1</v>
      </c>
      <c r="BM41" s="746" t="str">
        <f t="shared" ca="1" si="22"/>
        <v>2I</v>
      </c>
      <c r="BN41" s="746" t="str">
        <f t="shared" ca="1" si="23"/>
        <v>2I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6</v>
      </c>
      <c r="BS41" s="755">
        <f ca="1">BP41+COUNTIFS($BQ$6:$BQ$53,BQ41,$BR$6:BR$53,"&gt;"&amp;BR41,$BC$6:$BC$53,INDEX(T_Equipos[Grupo],MATCH(BD41,T_Equipos[NombreEquipo],0)))</f>
        <v>2</v>
      </c>
      <c r="BT41" s="755" t="str">
        <f ca="1">IF(COUNTIFS($BS$6:$BS$53,BS41,$BC$6:$BC$53,INDEX(T_Equipos[Grupo],MATCH(BD41,T_Equipos[NombreEquipo],0)))=1,"-","P."&amp;BS41&amp;" ("&amp;COUNTIFS($BS$6:$BS$53,BS41,$BC$6:$BC$53,INDEX(T_Equipos[Grupo],MATCH(BD41,T_Equipos[NombreEquipo],0)))&amp;")")</f>
        <v>-</v>
      </c>
      <c r="BU41" s="756" t="str">
        <f t="shared" ca="1" si="36"/>
        <v>-</v>
      </c>
      <c r="BV41" s="756" t="str">
        <f t="shared" ca="1" si="37"/>
        <v>-</v>
      </c>
      <c r="BW41" s="756" t="str">
        <f t="shared" ca="1" si="38"/>
        <v>-</v>
      </c>
      <c r="BX41" s="756" t="str">
        <f t="shared" ca="1" si="39"/>
        <v>-</v>
      </c>
      <c r="BY41" s="756">
        <f ca="1">BS41+COUNTIFS($BT$6:$BT$53,BT41,$BX$6:BX$53,"&gt;"&amp;BX41,$BC$6:$BC$53,INDEX(T_Equipos[Grupo],MATCH(BD41,T_Equipos[NombreEquipo],0)))</f>
        <v>2</v>
      </c>
      <c r="BZ41" s="755" t="str">
        <f ca="1">IF(COUNTIFS($BY$6:$BY$53,BY41,$BC$6:$BC$53,INDEX(T_Equipos[Grupo],MATCH(BD41,T_Equipos[NombreEquipo],0)))=1,"-","P."&amp;BY41&amp;" ("&amp;COUNTIFS($BY$6:$BY$53,BY41,$BC$6:$BC$53,INDEX(T_Equipos[Grupo],MATCH(BD41,T_Equipos[NombreEquipo],0)))&amp;")")</f>
        <v>-</v>
      </c>
      <c r="CA41" s="756" t="str">
        <f t="shared" ca="1" si="40"/>
        <v>-</v>
      </c>
      <c r="CB41" s="756" t="str">
        <f t="shared" ca="1" si="41"/>
        <v>-</v>
      </c>
      <c r="CC41" s="756" t="str">
        <f t="shared" ca="1" si="42"/>
        <v>-</v>
      </c>
      <c r="CD41" s="756">
        <f ca="1">BY41+COUNTIFS($BZ$6:$BZ$53,BZ41,$CC$6:CC$53,"&gt;"&amp;CC41,$BC$6:$BC$53,INDEX(T_Equipos[Grupo],MATCH(BD41,T_Equipos[NombreEquipo],0)))</f>
        <v>2</v>
      </c>
      <c r="CE41" s="755" t="str">
        <f ca="1">IF(COUNTIFS($CD$6:$CD$53,CD41,$BC$6:$BC$53,INDEX(T_Equipos[Grupo],MATCH(BD41,T_Equipos[NombreEquipo],0)))=1,"-","P."&amp;CD41&amp;" ("&amp;COUNTIFS($CD$6:$CD$53,CD41,$BC$6:$BC$53,INDEX(T_Equipos[Grupo],MATCH(BD41,T_Equipos[NombreEquipo],0)))&amp;")")</f>
        <v>-</v>
      </c>
      <c r="CF41" s="756" t="str">
        <f t="shared" ca="1" si="43"/>
        <v>-</v>
      </c>
      <c r="CG41" s="756">
        <f ca="1">CD41+COUNTIFS($CE$6:$CE$53,CE41,$CF$6:CF$53,"&gt;"&amp;CF41,$BC$6:$BC$53,INDEX(T_Equipos[Grupo],MATCH(BD41,T_Equipos[NombreEquipo],0)))</f>
        <v>2</v>
      </c>
      <c r="CH41" s="755" t="str">
        <f ca="1">IF(COUNTIFS($CG$6:$CG$53,CG41,$BC$6:$BC$53,INDEX(T_Equipos[Grupo],MATCH(BD41,T_Equipos[NombreEquipo],0)))=1,"-","P."&amp;CG41&amp;" ("&amp;COUNTIFS($CG$6:$CG$53,CG41,$BC$6:$BC$53,INDEX(T_Equipos[Grupo],MATCH(BD41,T_Equipos[NombreEquipo],0)))&amp;")")</f>
        <v>-</v>
      </c>
      <c r="CI41" s="756" t="str">
        <f t="shared" ca="1" si="44"/>
        <v>-</v>
      </c>
      <c r="CJ41" s="756" t="str">
        <f t="shared" ca="1" si="45"/>
        <v>-</v>
      </c>
      <c r="CK41" s="756" t="str">
        <f t="shared" ca="1" si="46"/>
        <v>-</v>
      </c>
      <c r="CL41" s="756" t="str">
        <f t="shared" ca="1" si="47"/>
        <v>-</v>
      </c>
      <c r="CM41" s="756">
        <f ca="1">CG41+COUNTIFS($CH$6:$CH$53,CH41,$CL$6:CL$53,"&gt;"&amp;CL41,$BC$6:$BC$53,INDEX(T_Equipos[Grupo],MATCH(BD41,T_Equipos[NombreEquipo],0)))</f>
        <v>2</v>
      </c>
      <c r="CN41" s="755" t="str">
        <f ca="1">IF(COUNTIFS($CM$6:$CM$53,CM41,$BC$6:$BC$53,INDEX(T_Equipos[Grupo],MATCH(BD41,T_Equipos[NombreEquipo],0)))=1,"-","P."&amp;CM41&amp;" ("&amp;COUNTIFS($CM$6:$CM$53,CM41,$BC$6:$BC$53,INDEX(T_Equipos[Grupo],MATCH(BD41,T_Equipos[NombreEquipo],0)))&amp;")")</f>
        <v>-</v>
      </c>
      <c r="CO41" s="756" t="str">
        <f t="shared" ca="1" si="48"/>
        <v>-</v>
      </c>
      <c r="CP41" s="756" t="str">
        <f t="shared" ca="1" si="49"/>
        <v>-</v>
      </c>
      <c r="CQ41" s="756" t="str">
        <f t="shared" ca="1" si="50"/>
        <v>-</v>
      </c>
      <c r="CR41" s="756">
        <f ca="1">CM41+COUNTIFS($CN$6:$CN$53,CN41,$CQ$6:CQ$53,"&gt;"&amp;CQ41,$BC$6:$BC$53,INDEX(T_Equipos[Grupo],MATCH(BD41,T_Equipos[NombreEquipo],0)))</f>
        <v>2</v>
      </c>
      <c r="CS41" s="755" t="str">
        <f ca="1">IF(COUNTIFS($CR$6:$CR$53,CR41,$BC$6:$BC$53,INDEX(T_Equipos[Grupo],MATCH(BD41,T_Equipos[NombreEquipo],0)))=1,"-","P."&amp;CR41&amp;" ("&amp;COUNTIFS($CR$6:$CR$53,CR41,$BC$6:$BC$53,INDEX(T_Equipos[Grupo],MATCH(BD41,T_Equipos[NombreEquipo],0)))&amp;")")</f>
        <v>-</v>
      </c>
      <c r="CT41" s="756" t="str">
        <f t="shared" ca="1" si="51"/>
        <v>-</v>
      </c>
      <c r="CU41" s="756">
        <f ca="1">CR41+COUNTIFS($CS$6:$CS$53,CS41,$CT$6:CT$53,"&gt;"&amp;CT41,$BC$6:$BC$53,INDEX(T_Equipos[Grupo],MATCH(BD41,T_Equipos[NombreEquipo],0)))</f>
        <v>2</v>
      </c>
      <c r="CV41" s="755" t="str">
        <f ca="1">IF(COUNTIFS($CU$6:$CU$53,CU41,$BC$6:$BC$53,INDEX(T_Equipos[Grupo],MATCH(BD41,T_Equipos[NombreEquipo],0)))=1,"-","P."&amp;CU41&amp;" ("&amp;COUNTIFS($CU$6:$CU$53,CU41,$BC$6:$BC$53,INDEX(T_Equipos[Grupo],MATCH(BD41,T_Equipos[NombreEquipo],0)))&amp;")")</f>
        <v>-</v>
      </c>
      <c r="CW41" s="755" t="str">
        <f t="shared" ca="1" si="30"/>
        <v>-</v>
      </c>
      <c r="CX41" s="755">
        <f ca="1">CU41+COUNTIFS($CV$6:$CV$53,CV41,$CW$6:CW$53,"&gt;"&amp;CW41,$BC$6:$BC$53,INDEX(T_Equipos[Grupo],MATCH(BD41,T_Equipos[NombreEquipo],0)))</f>
        <v>2</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2</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2</v>
      </c>
      <c r="DE41" s="754"/>
      <c r="DF41" s="754">
        <f t="shared" ca="1" si="52"/>
        <v>2</v>
      </c>
      <c r="DG41" s="754" t="str">
        <f ca="1">IF(DB41="-","-",COUNTIFS(DF$6:DF$53,"&lt;"&amp;DF41,$BC$6:$BC$53,INDEX(T_Equipos[Grupo],MATCH(BD41,T_Equipos[NombreEquipo],0))))</f>
        <v>-</v>
      </c>
      <c r="DH41" s="754">
        <f ca="1">DA41+COUNTIFS(DB$6:DB$53,DB41,DG$6:DG$53,"&lt;"&amp;DG41,$BC$6:$BC$53,INDEX(T_Equipos[Grupo],MATCH(BD41,T_Equipos[NombreEquipo],0)))</f>
        <v>2</v>
      </c>
      <c r="DI41" s="742"/>
      <c r="DJ41" s="742">
        <f t="shared" ca="1" si="53"/>
        <v>4</v>
      </c>
      <c r="DK41" s="742">
        <f t="shared" ca="1" si="24"/>
        <v>12</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9</v>
      </c>
      <c r="BF42" s="746">
        <f t="shared" ca="1" si="26"/>
        <v>3</v>
      </c>
      <c r="BG42" s="746">
        <f t="shared" ca="1" si="17"/>
        <v>3</v>
      </c>
      <c r="BH42" s="746">
        <f t="shared" ca="1" si="18"/>
        <v>0</v>
      </c>
      <c r="BI42" s="746">
        <f t="shared" ca="1" si="19"/>
        <v>0</v>
      </c>
      <c r="BJ42" s="746">
        <f t="shared" ca="1" si="20"/>
        <v>8</v>
      </c>
      <c r="BK42" s="746">
        <f t="shared" ca="1" si="21"/>
        <v>1</v>
      </c>
      <c r="BL42" s="746">
        <f t="shared" ca="1" si="27"/>
        <v>7</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9</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v>
      </c>
      <c r="BU42" s="756" t="str">
        <f t="shared" ca="1" si="36"/>
        <v>-</v>
      </c>
      <c r="BV42" s="756" t="str">
        <f t="shared" ca="1" si="37"/>
        <v>-</v>
      </c>
      <c r="BW42" s="756" t="str">
        <f t="shared" ca="1" si="38"/>
        <v>-</v>
      </c>
      <c r="BX42" s="756" t="str">
        <f t="shared" ca="1" si="39"/>
        <v>-</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v>
      </c>
      <c r="CA42" s="756" t="str">
        <f t="shared" ca="1" si="40"/>
        <v>-</v>
      </c>
      <c r="CB42" s="756" t="str">
        <f t="shared" ca="1" si="41"/>
        <v>-</v>
      </c>
      <c r="CC42" s="756" t="str">
        <f t="shared" ca="1" si="42"/>
        <v>-</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v>
      </c>
      <c r="CF42" s="756" t="str">
        <f t="shared" ca="1" si="43"/>
        <v>-</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v>
      </c>
      <c r="CI42" s="756" t="str">
        <f t="shared" ca="1" si="44"/>
        <v>-</v>
      </c>
      <c r="CJ42" s="756" t="str">
        <f t="shared" ca="1" si="45"/>
        <v>-</v>
      </c>
      <c r="CK42" s="756" t="str">
        <f t="shared" ca="1" si="46"/>
        <v>-</v>
      </c>
      <c r="CL42" s="756" t="str">
        <f t="shared" ca="1" si="47"/>
        <v>-</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v>
      </c>
      <c r="CO42" s="756" t="str">
        <f t="shared" ca="1" si="48"/>
        <v>-</v>
      </c>
      <c r="CP42" s="756" t="str">
        <f t="shared" ca="1" si="49"/>
        <v>-</v>
      </c>
      <c r="CQ42" s="756" t="str">
        <f t="shared" ca="1" si="50"/>
        <v>-</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v>
      </c>
      <c r="CT42" s="756" t="str">
        <f t="shared" ca="1" si="51"/>
        <v>-</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v>
      </c>
      <c r="CW42" s="755" t="str">
        <f t="shared" ca="1" si="30"/>
        <v>-</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12</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4</v>
      </c>
      <c r="BF43" s="746">
        <f t="shared" ca="1" si="26"/>
        <v>3</v>
      </c>
      <c r="BG43" s="746">
        <f t="shared" ca="1" si="17"/>
        <v>1</v>
      </c>
      <c r="BH43" s="746">
        <f t="shared" ca="1" si="18"/>
        <v>1</v>
      </c>
      <c r="BI43" s="746">
        <f t="shared" ca="1" si="19"/>
        <v>1</v>
      </c>
      <c r="BJ43" s="746">
        <f t="shared" ca="1" si="20"/>
        <v>5</v>
      </c>
      <c r="BK43" s="746">
        <f t="shared" ca="1" si="21"/>
        <v>7</v>
      </c>
      <c r="BL43" s="746">
        <f t="shared" ca="1" si="27"/>
        <v>-2</v>
      </c>
      <c r="BM43" s="746" t="str">
        <f t="shared" ca="1" si="22"/>
        <v>3J</v>
      </c>
      <c r="BN43" s="746" t="str">
        <f t="shared" ca="1" si="23"/>
        <v>3J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4</v>
      </c>
      <c r="BS43" s="755">
        <f ca="1">BP43+COUNTIFS($BQ$6:$BQ$53,BQ43,$BR$6:BR$53,"&gt;"&amp;BR43,$BC$6:$BC$53,INDEX(T_Equipos[Grupo],MATCH(BD43,T_Equipos[NombreEquipo],0)))</f>
        <v>2</v>
      </c>
      <c r="BT43" s="755" t="str">
        <f ca="1">IF(COUNTIFS($BS$6:$BS$53,BS43,$BC$6:$BC$53,INDEX(T_Equipos[Grupo],MATCH(BD43,T_Equipos[NombreEquipo],0)))=1,"-","P."&amp;BS43&amp;" ("&amp;COUNTIFS($BS$6:$BS$53,BS43,$BC$6:$BC$53,INDEX(T_Equipos[Grupo],MATCH(BD43,T_Equipos[NombreEquipo],0)))&amp;")")</f>
        <v>P.2 (2)</v>
      </c>
      <c r="BU43" s="756">
        <f t="shared" ca="1" si="36"/>
        <v>0</v>
      </c>
      <c r="BV43" s="756">
        <f t="shared" ca="1" si="37"/>
        <v>1</v>
      </c>
      <c r="BW43" s="756">
        <f t="shared" ca="1" si="38"/>
        <v>0</v>
      </c>
      <c r="BX43" s="756">
        <f t="shared" ca="1" si="39"/>
        <v>1</v>
      </c>
      <c r="BY43" s="756">
        <f ca="1">BS43+COUNTIFS($BT$6:$BT$53,BT43,$BX$6:BX$53,"&gt;"&amp;BX43,$BC$6:$BC$53,INDEX(T_Equipos[Grupo],MATCH(BD43,T_Equipos[NombreEquipo],0)))</f>
        <v>2</v>
      </c>
      <c r="BZ43" s="755" t="str">
        <f ca="1">IF(COUNTIFS($BY$6:$BY$53,BY43,$BC$6:$BC$53,INDEX(T_Equipos[Grupo],MATCH(BD43,T_Equipos[NombreEquipo],0)))=1,"-","P."&amp;BY43&amp;" ("&amp;COUNTIFS($BY$6:$BY$53,BY43,$BC$6:$BC$53,INDEX(T_Equipos[Grupo],MATCH(BD43,T_Equipos[NombreEquipo],0)))&amp;")")</f>
        <v>P.2 (2)</v>
      </c>
      <c r="CA43" s="756">
        <f t="shared" ca="1" si="40"/>
        <v>3</v>
      </c>
      <c r="CB43" s="756">
        <f t="shared" ca="1" si="41"/>
        <v>3</v>
      </c>
      <c r="CC43" s="756">
        <f t="shared" ca="1" si="42"/>
        <v>0</v>
      </c>
      <c r="CD43" s="756">
        <f ca="1">BY43+COUNTIFS($BZ$6:$BZ$53,BZ43,$CC$6:CC$53,"&gt;"&amp;CC43,$BC$6:$BC$53,INDEX(T_Equipos[Grupo],MATCH(BD43,T_Equipos[NombreEquipo],0)))</f>
        <v>2</v>
      </c>
      <c r="CE43" s="755" t="str">
        <f ca="1">IF(COUNTIFS($CD$6:$CD$53,CD43,$BC$6:$BC$53,INDEX(T_Equipos[Grupo],MATCH(BD43,T_Equipos[NombreEquipo],0)))=1,"-","P."&amp;CD43&amp;" ("&amp;COUNTIFS($CD$6:$CD$53,CD43,$BC$6:$BC$53,INDEX(T_Equipos[Grupo],MATCH(BD43,T_Equipos[NombreEquipo],0)))&amp;")")</f>
        <v>P.2 (2)</v>
      </c>
      <c r="CF43" s="756">
        <f t="shared" ca="1" si="43"/>
        <v>3</v>
      </c>
      <c r="CG43" s="756">
        <f ca="1">CD43+COUNTIFS($CE$6:$CE$53,CE43,$CF$6:CF$53,"&gt;"&amp;CF43,$BC$6:$BC$53,INDEX(T_Equipos[Grupo],MATCH(BD43,T_Equipos[NombreEquipo],0)))</f>
        <v>2</v>
      </c>
      <c r="CH43" s="755" t="str">
        <f ca="1">IF(COUNTIFS($CG$6:$CG$53,CG43,$BC$6:$BC$53,INDEX(T_Equipos[Grupo],MATCH(BD43,T_Equipos[NombreEquipo],0)))=1,"-","P."&amp;CG43&amp;" ("&amp;COUNTIFS($CG$6:$CG$53,CG43,$BC$6:$BC$53,INDEX(T_Equipos[Grupo],MATCH(BD43,T_Equipos[NombreEquipo],0)))&amp;")")</f>
        <v>P.2 (2)</v>
      </c>
      <c r="CI43" s="756">
        <f t="shared" ca="1" si="44"/>
        <v>0</v>
      </c>
      <c r="CJ43" s="756">
        <f t="shared" ca="1" si="45"/>
        <v>1</v>
      </c>
      <c r="CK43" s="756">
        <f t="shared" ca="1" si="46"/>
        <v>0</v>
      </c>
      <c r="CL43" s="756">
        <f t="shared" ca="1" si="47"/>
        <v>1</v>
      </c>
      <c r="CM43" s="756">
        <f ca="1">CG43+COUNTIFS($CH$6:$CH$53,CH43,$CL$6:CL$53,"&gt;"&amp;CL43,$BC$6:$BC$53,INDEX(T_Equipos[Grupo],MATCH(BD43,T_Equipos[NombreEquipo],0)))</f>
        <v>2</v>
      </c>
      <c r="CN43" s="755" t="str">
        <f ca="1">IF(COUNTIFS($CM$6:$CM$53,CM43,$BC$6:$BC$53,INDEX(T_Equipos[Grupo],MATCH(BD43,T_Equipos[NombreEquipo],0)))=1,"-","P."&amp;CM43&amp;" ("&amp;COUNTIFS($CM$6:$CM$53,CM43,$BC$6:$BC$53,INDEX(T_Equipos[Grupo],MATCH(BD43,T_Equipos[NombreEquipo],0)))&amp;")")</f>
        <v>P.2 (2)</v>
      </c>
      <c r="CO43" s="756">
        <f t="shared" ca="1" si="48"/>
        <v>3</v>
      </c>
      <c r="CP43" s="756">
        <f t="shared" ca="1" si="49"/>
        <v>3</v>
      </c>
      <c r="CQ43" s="756">
        <f t="shared" ca="1" si="50"/>
        <v>0</v>
      </c>
      <c r="CR43" s="756">
        <f ca="1">CM43+COUNTIFS($CN$6:$CN$53,CN43,$CQ$6:CQ$53,"&gt;"&amp;CQ43,$BC$6:$BC$53,INDEX(T_Equipos[Grupo],MATCH(BD43,T_Equipos[NombreEquipo],0)))</f>
        <v>2</v>
      </c>
      <c r="CS43" s="755" t="str">
        <f ca="1">IF(COUNTIFS($CR$6:$CR$53,CR43,$BC$6:$BC$53,INDEX(T_Equipos[Grupo],MATCH(BD43,T_Equipos[NombreEquipo],0)))=1,"-","P."&amp;CR43&amp;" ("&amp;COUNTIFS($CR$6:$CR$53,CR43,$BC$6:$BC$53,INDEX(T_Equipos[Grupo],MATCH(BD43,T_Equipos[NombreEquipo],0)))&amp;")")</f>
        <v>P.2 (2)</v>
      </c>
      <c r="CT43" s="756">
        <f t="shared" ca="1" si="51"/>
        <v>3</v>
      </c>
      <c r="CU43" s="756">
        <f ca="1">CR43+COUNTIFS($CS$6:$CS$53,CS43,$CT$6:CT$53,"&gt;"&amp;CT43,$BC$6:$BC$53,INDEX(T_Equipos[Grupo],MATCH(BD43,T_Equipos[NombreEquipo],0)))</f>
        <v>2</v>
      </c>
      <c r="CV43" s="755" t="str">
        <f ca="1">IF(COUNTIFS($CU$6:$CU$53,CU43,$BC$6:$BC$53,INDEX(T_Equipos[Grupo],MATCH(BD43,T_Equipos[NombreEquipo],0)))=1,"-","P."&amp;CU43&amp;" ("&amp;COUNTIFS($CU$6:$CU$53,CU43,$BC$6:$BC$53,INDEX(T_Equipos[Grupo],MATCH(BD43,T_Equipos[NombreEquipo],0)))&amp;")")</f>
        <v>P.2 (2)</v>
      </c>
      <c r="CW43" s="755">
        <f t="shared" ca="1" si="30"/>
        <v>-2</v>
      </c>
      <c r="CX43" s="755">
        <f ca="1">CU43+COUNTIFS($CV$6:$CV$53,CV43,$CW$6:CW$53,"&gt;"&amp;CW43,$BC$6:$BC$53,INDEX(T_Equipos[Grupo],MATCH(BD43,T_Equipos[NombreEquipo],0)))</f>
        <v>3</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3</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3</v>
      </c>
      <c r="DE43" s="754"/>
      <c r="DF43" s="754">
        <f t="shared" ca="1" si="52"/>
        <v>3</v>
      </c>
      <c r="DG43" s="754" t="str">
        <f ca="1">IF(DB43="-","-",COUNTIFS(DF$6:DF$53,"&lt;"&amp;DF43,$BC$6:$BC$53,INDEX(T_Equipos[Grupo],MATCH(BD43,T_Equipos[NombreEquipo],0))))</f>
        <v>-</v>
      </c>
      <c r="DH43" s="754">
        <f ca="1">DA43+COUNTIFS(DB$6:DB$53,DB43,DG$6:DG$53,"&lt;"&amp;DG43,$BC$6:$BC$53,INDEX(T_Equipos[Grupo],MATCH(BD43,T_Equipos[NombreEquipo],0)))</f>
        <v>3</v>
      </c>
      <c r="DI43" s="742"/>
      <c r="DJ43" s="742">
        <f t="shared" ca="1" si="53"/>
        <v>2</v>
      </c>
      <c r="DK43" s="742">
        <f t="shared" ca="1" si="24"/>
        <v>12</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6.0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v>
      </c>
      <c r="F44" s="742" t="str">
        <f t="shared" ref="F44:F49" ca="1" si="138">IF(D44="Pendiente","-",INDEX($BT$6:$BT$53,MATCH($AF44,$BD$6:$BD$53,0)))</f>
        <v>-</v>
      </c>
      <c r="G44" s="742"/>
      <c r="H44" s="742" t="str">
        <f t="shared" ref="H44:H49" ca="1" si="139">IF(D44="Pendiente","-",INDEX($BZ$6:$BZ$53,MATCH($AA44,$BD$6:$BD$53,0)))</f>
        <v>-</v>
      </c>
      <c r="I44" s="742" t="str">
        <f t="shared" ref="I44:I49" ca="1" si="140">IF(D44="Pendiente","-",INDEX($BZ$6:$BZ$53,MATCH($AF44,$BD$6:$BD$53,0)))</f>
        <v>-</v>
      </c>
      <c r="J44" s="742"/>
      <c r="K44" s="742" t="str">
        <f t="shared" ref="K44:K49" ca="1" si="141">IF(D44="Pendiente","-",INDEX($CE$6:$CE$53,MATCH($AA44,$BD$6:$BD$53,0)))</f>
        <v>-</v>
      </c>
      <c r="L44" s="742" t="str">
        <f t="shared" ref="L44:L49" ca="1" si="142">IF(D44="Pendiente","-",INDEX($CE$6:$CE$53,MATCH($AF44,$BD$6:$BD$53,0)))</f>
        <v>-</v>
      </c>
      <c r="M44" s="742"/>
      <c r="N44" s="742" t="str">
        <f t="shared" ref="N44:N49" ca="1" si="143">IF(D44="Pendiente","-",INDEX($CH$6:$CH$53,MATCH($AA44,$BD$6:$BD$53,0)))</f>
        <v>-</v>
      </c>
      <c r="O44" s="742" t="str">
        <f t="shared" ref="O44:O49" ca="1" si="144">IF(D44="Pendiente","-",INDEX($CH$6:$CH$53,MATCH($AF44,$BD$6:$BD$53,0)))</f>
        <v>-</v>
      </c>
      <c r="P44" s="742"/>
      <c r="Q44" s="742" t="str">
        <f t="shared" ref="Q44:Q49" ca="1" si="145">IF(D44="Pendiente","-",INDEX($CN$6:$CN$53,MATCH($AA44,$BD$6:$BD$53,0)))</f>
        <v>-</v>
      </c>
      <c r="R44" s="742" t="str">
        <f t="shared" ref="R44:R49" ca="1" si="146">IF(D44="Pendiente","-",INDEX($CN$6:$CN$53,MATCH($AF44,$BD$6:$BD$53,0)))</f>
        <v>-</v>
      </c>
      <c r="S44" s="742"/>
      <c r="T44" s="742" t="str">
        <f t="shared" ref="T44:T49" ca="1" si="147">IF(D44="Pendiente","-",INDEX($CS$6:$CS$53,MATCH($AA44,$BD$6:$BD$53,0)))</f>
        <v>-</v>
      </c>
      <c r="U44" s="742" t="str">
        <f t="shared" ref="U44:U49" ca="1" si="148">IF(D44="Pendiente","-",INDEX($CS$6:$CS$53,MATCH($AF44,$BD$6:$BD$53,0)))</f>
        <v>-</v>
      </c>
      <c r="V44" s="172"/>
      <c r="W44" s="82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4</v>
      </c>
      <c r="BF44" s="746">
        <f t="shared" ca="1" si="26"/>
        <v>3</v>
      </c>
      <c r="BG44" s="746">
        <f t="shared" ca="1" si="17"/>
        <v>1</v>
      </c>
      <c r="BH44" s="746">
        <f t="shared" ca="1" si="18"/>
        <v>1</v>
      </c>
      <c r="BI44" s="746">
        <f t="shared" ca="1" si="19"/>
        <v>1</v>
      </c>
      <c r="BJ44" s="746">
        <f t="shared" ca="1" si="20"/>
        <v>6</v>
      </c>
      <c r="BK44" s="746">
        <f t="shared" ca="1" si="21"/>
        <v>6</v>
      </c>
      <c r="BL44" s="746">
        <f t="shared" ca="1" si="27"/>
        <v>0</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4</v>
      </c>
      <c r="BS44" s="755">
        <f ca="1">BP44+COUNTIFS($BQ$6:$BQ$53,BQ44,$BR$6:BR$53,"&gt;"&amp;BR44,$BC$6:$BC$53,INDEX(T_Equipos[Grupo],MATCH(BD44,T_Equipos[NombreEquipo],0)))</f>
        <v>2</v>
      </c>
      <c r="BT44" s="755" t="str">
        <f ca="1">IF(COUNTIFS($BS$6:$BS$53,BS44,$BC$6:$BC$53,INDEX(T_Equipos[Grupo],MATCH(BD44,T_Equipos[NombreEquipo],0)))=1,"-","P."&amp;BS44&amp;" ("&amp;COUNTIFS($BS$6:$BS$53,BS44,$BC$6:$BC$53,INDEX(T_Equipos[Grupo],MATCH(BD44,T_Equipos[NombreEquipo],0)))&amp;")")</f>
        <v>P.2 (2)</v>
      </c>
      <c r="BU44" s="756">
        <f t="shared" ca="1" si="36"/>
        <v>0</v>
      </c>
      <c r="BV44" s="756">
        <f t="shared" ca="1" si="37"/>
        <v>1</v>
      </c>
      <c r="BW44" s="756">
        <f t="shared" ca="1" si="38"/>
        <v>0</v>
      </c>
      <c r="BX44" s="756">
        <f t="shared" ca="1" si="39"/>
        <v>1</v>
      </c>
      <c r="BY44" s="756">
        <f ca="1">BS44+COUNTIFS($BT$6:$BT$53,BT44,$BX$6:BX$53,"&gt;"&amp;BX44,$BC$6:$BC$53,INDEX(T_Equipos[Grupo],MATCH(BD44,T_Equipos[NombreEquipo],0)))</f>
        <v>2</v>
      </c>
      <c r="BZ44" s="755" t="str">
        <f ca="1">IF(COUNTIFS($BY$6:$BY$53,BY44,$BC$6:$BC$53,INDEX(T_Equipos[Grupo],MATCH(BD44,T_Equipos[NombreEquipo],0)))=1,"-","P."&amp;BY44&amp;" ("&amp;COUNTIFS($BY$6:$BY$53,BY44,$BC$6:$BC$53,INDEX(T_Equipos[Grupo],MATCH(BD44,T_Equipos[NombreEquipo],0)))&amp;")")</f>
        <v>P.2 (2)</v>
      </c>
      <c r="CA44" s="756">
        <f t="shared" ca="1" si="40"/>
        <v>3</v>
      </c>
      <c r="CB44" s="756">
        <f t="shared" ca="1" si="41"/>
        <v>3</v>
      </c>
      <c r="CC44" s="756">
        <f t="shared" ca="1" si="42"/>
        <v>0</v>
      </c>
      <c r="CD44" s="756">
        <f ca="1">BY44+COUNTIFS($BZ$6:$BZ$53,BZ44,$CC$6:CC$53,"&gt;"&amp;CC44,$BC$6:$BC$53,INDEX(T_Equipos[Grupo],MATCH(BD44,T_Equipos[NombreEquipo],0)))</f>
        <v>2</v>
      </c>
      <c r="CE44" s="755" t="str">
        <f ca="1">IF(COUNTIFS($CD$6:$CD$53,CD44,$BC$6:$BC$53,INDEX(T_Equipos[Grupo],MATCH(BD44,T_Equipos[NombreEquipo],0)))=1,"-","P."&amp;CD44&amp;" ("&amp;COUNTIFS($CD$6:$CD$53,CD44,$BC$6:$BC$53,INDEX(T_Equipos[Grupo],MATCH(BD44,T_Equipos[NombreEquipo],0)))&amp;")")</f>
        <v>P.2 (2)</v>
      </c>
      <c r="CF44" s="756">
        <f t="shared" ca="1" si="43"/>
        <v>3</v>
      </c>
      <c r="CG44" s="756">
        <f ca="1">CD44+COUNTIFS($CE$6:$CE$53,CE44,$CF$6:CF$53,"&gt;"&amp;CF44,$BC$6:$BC$53,INDEX(T_Equipos[Grupo],MATCH(BD44,T_Equipos[NombreEquipo],0)))</f>
        <v>2</v>
      </c>
      <c r="CH44" s="755" t="str">
        <f ca="1">IF(COUNTIFS($CG$6:$CG$53,CG44,$BC$6:$BC$53,INDEX(T_Equipos[Grupo],MATCH(BD44,T_Equipos[NombreEquipo],0)))=1,"-","P."&amp;CG44&amp;" ("&amp;COUNTIFS($CG$6:$CG$53,CG44,$BC$6:$BC$53,INDEX(T_Equipos[Grupo],MATCH(BD44,T_Equipos[NombreEquipo],0)))&amp;")")</f>
        <v>P.2 (2)</v>
      </c>
      <c r="CI44" s="756">
        <f t="shared" ca="1" si="44"/>
        <v>0</v>
      </c>
      <c r="CJ44" s="756">
        <f t="shared" ca="1" si="45"/>
        <v>1</v>
      </c>
      <c r="CK44" s="756">
        <f t="shared" ca="1" si="46"/>
        <v>0</v>
      </c>
      <c r="CL44" s="756">
        <f t="shared" ca="1" si="47"/>
        <v>1</v>
      </c>
      <c r="CM44" s="756">
        <f ca="1">CG44+COUNTIFS($CH$6:$CH$53,CH44,$CL$6:CL$53,"&gt;"&amp;CL44,$BC$6:$BC$53,INDEX(T_Equipos[Grupo],MATCH(BD44,T_Equipos[NombreEquipo],0)))</f>
        <v>2</v>
      </c>
      <c r="CN44" s="755" t="str">
        <f ca="1">IF(COUNTIFS($CM$6:$CM$53,CM44,$BC$6:$BC$53,INDEX(T_Equipos[Grupo],MATCH(BD44,T_Equipos[NombreEquipo],0)))=1,"-","P."&amp;CM44&amp;" ("&amp;COUNTIFS($CM$6:$CM$53,CM44,$BC$6:$BC$53,INDEX(T_Equipos[Grupo],MATCH(BD44,T_Equipos[NombreEquipo],0)))&amp;")")</f>
        <v>P.2 (2)</v>
      </c>
      <c r="CO44" s="756">
        <f t="shared" ca="1" si="48"/>
        <v>3</v>
      </c>
      <c r="CP44" s="756">
        <f t="shared" ca="1" si="49"/>
        <v>3</v>
      </c>
      <c r="CQ44" s="756">
        <f t="shared" ca="1" si="50"/>
        <v>0</v>
      </c>
      <c r="CR44" s="756">
        <f ca="1">CM44+COUNTIFS($CN$6:$CN$53,CN44,$CQ$6:CQ$53,"&gt;"&amp;CQ44,$BC$6:$BC$53,INDEX(T_Equipos[Grupo],MATCH(BD44,T_Equipos[NombreEquipo],0)))</f>
        <v>2</v>
      </c>
      <c r="CS44" s="755" t="str">
        <f ca="1">IF(COUNTIFS($CR$6:$CR$53,CR44,$BC$6:$BC$53,INDEX(T_Equipos[Grupo],MATCH(BD44,T_Equipos[NombreEquipo],0)))=1,"-","P."&amp;CR44&amp;" ("&amp;COUNTIFS($CR$6:$CR$53,CR44,$BC$6:$BC$53,INDEX(T_Equipos[Grupo],MATCH(BD44,T_Equipos[NombreEquipo],0)))&amp;")")</f>
        <v>P.2 (2)</v>
      </c>
      <c r="CT44" s="756">
        <f t="shared" ca="1" si="51"/>
        <v>3</v>
      </c>
      <c r="CU44" s="756">
        <f ca="1">CR44+COUNTIFS($CS$6:$CS$53,CS44,$CT$6:CT$53,"&gt;"&amp;CT44,$BC$6:$BC$53,INDEX(T_Equipos[Grupo],MATCH(BD44,T_Equipos[NombreEquipo],0)))</f>
        <v>2</v>
      </c>
      <c r="CV44" s="755" t="str">
        <f ca="1">IF(COUNTIFS($CU$6:$CU$53,CU44,$BC$6:$BC$53,INDEX(T_Equipos[Grupo],MATCH(BD44,T_Equipos[NombreEquipo],0)))=1,"-","P."&amp;CU44&amp;" ("&amp;COUNTIFS($CU$6:$CU$53,CU44,$BC$6:$BC$53,INDEX(T_Equipos[Grupo],MATCH(BD44,T_Equipos[NombreEquipo],0)))&amp;")")</f>
        <v>P.2 (2)</v>
      </c>
      <c r="CW44" s="755">
        <f t="shared" ca="1" si="30"/>
        <v>0</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12</v>
      </c>
      <c r="DL44" s="742">
        <f t="shared" ca="1" si="33"/>
        <v>1</v>
      </c>
      <c r="DM44" s="736" t="str">
        <f t="shared" ca="1" si="34"/>
        <v>3.1</v>
      </c>
      <c r="DN44" s="742" cm="1">
        <f t="array" aca="1" ref="DN44" ca="1">OFFSET(Horarios!$P$3,DJ44-1,0,DL44,1)</f>
        <v>3</v>
      </c>
      <c r="DO44" s="742"/>
      <c r="DP44" s="742" t="s">
        <v>441</v>
      </c>
      <c r="DQ44" s="742" t="str">
        <f t="shared" ca="1" si="35"/>
        <v>Argelia</v>
      </c>
      <c r="DR44" s="742"/>
      <c r="DS44" s="742"/>
      <c r="DT44" s="742" t="str">
        <f t="shared" ca="1" si="15"/>
        <v>Países Bajos-Japón</v>
      </c>
      <c r="DU44" s="742"/>
      <c r="DV44" s="742"/>
      <c r="DW44" s="8"/>
    </row>
    <row r="45" spans="1:127" ht="16.0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3</v>
      </c>
      <c r="BG45" s="746">
        <f t="shared" ca="1" si="17"/>
        <v>0</v>
      </c>
      <c r="BH45" s="746">
        <f t="shared" ca="1" si="18"/>
        <v>0</v>
      </c>
      <c r="BI45" s="746">
        <f t="shared" ca="1" si="19"/>
        <v>3</v>
      </c>
      <c r="BJ45" s="746">
        <f t="shared" ca="1" si="20"/>
        <v>3</v>
      </c>
      <c r="BK45" s="746">
        <f t="shared" ca="1" si="21"/>
        <v>8</v>
      </c>
      <c r="BL45" s="746">
        <f t="shared" ca="1" si="27"/>
        <v>-5</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4</v>
      </c>
      <c r="BT45" s="755" t="str">
        <f ca="1">IF(COUNTIFS($BS$6:$BS$53,BS45,$BC$6:$BC$53,INDEX(T_Equipos[Grupo],MATCH(BD45,T_Equipos[NombreEquipo],0)))=1,"-","P."&amp;BS45&amp;" ("&amp;COUNTIFS($BS$6:$BS$53,BS45,$BC$6:$BC$53,INDEX(T_Equipos[Grupo],MATCH(BD45,T_Equipos[NombreEquipo],0)))&amp;")")</f>
        <v>-</v>
      </c>
      <c r="BU45" s="756" t="str">
        <f t="shared" ca="1" si="36"/>
        <v>-</v>
      </c>
      <c r="BV45" s="756" t="str">
        <f t="shared" ca="1" si="37"/>
        <v>-</v>
      </c>
      <c r="BW45" s="756" t="str">
        <f t="shared" ca="1" si="38"/>
        <v>-</v>
      </c>
      <c r="BX45" s="756" t="str">
        <f t="shared" ca="1" si="39"/>
        <v>-</v>
      </c>
      <c r="BY45" s="756">
        <f ca="1">BS45+COUNTIFS($BT$6:$BT$53,BT45,$BX$6:BX$53,"&gt;"&amp;BX45,$BC$6:$BC$53,INDEX(T_Equipos[Grupo],MATCH(BD45,T_Equipos[NombreEquipo],0)))</f>
        <v>4</v>
      </c>
      <c r="BZ45" s="755" t="str">
        <f ca="1">IF(COUNTIFS($BY$6:$BY$53,BY45,$BC$6:$BC$53,INDEX(T_Equipos[Grupo],MATCH(BD45,T_Equipos[NombreEquipo],0)))=1,"-","P."&amp;BY45&amp;" ("&amp;COUNTIFS($BY$6:$BY$53,BY45,$BC$6:$BC$53,INDEX(T_Equipos[Grupo],MATCH(BD45,T_Equipos[NombreEquipo],0)))&amp;")")</f>
        <v>-</v>
      </c>
      <c r="CA45" s="756" t="str">
        <f t="shared" ca="1" si="40"/>
        <v>-</v>
      </c>
      <c r="CB45" s="756" t="str">
        <f t="shared" ca="1" si="41"/>
        <v>-</v>
      </c>
      <c r="CC45" s="756" t="str">
        <f t="shared" ca="1" si="42"/>
        <v>-</v>
      </c>
      <c r="CD45" s="756">
        <f ca="1">BY45+COUNTIFS($BZ$6:$BZ$53,BZ45,$CC$6:CC$53,"&gt;"&amp;CC45,$BC$6:$BC$53,INDEX(T_Equipos[Grupo],MATCH(BD45,T_Equipos[NombreEquipo],0)))</f>
        <v>4</v>
      </c>
      <c r="CE45" s="755" t="str">
        <f ca="1">IF(COUNTIFS($CD$6:$CD$53,CD45,$BC$6:$BC$53,INDEX(T_Equipos[Grupo],MATCH(BD45,T_Equipos[NombreEquipo],0)))=1,"-","P."&amp;CD45&amp;" ("&amp;COUNTIFS($CD$6:$CD$53,CD45,$BC$6:$BC$53,INDEX(T_Equipos[Grupo],MATCH(BD45,T_Equipos[NombreEquipo],0)))&amp;")")</f>
        <v>-</v>
      </c>
      <c r="CF45" s="756" t="str">
        <f t="shared" ca="1" si="43"/>
        <v>-</v>
      </c>
      <c r="CG45" s="756">
        <f ca="1">CD45+COUNTIFS($CE$6:$CE$53,CE45,$CF$6:CF$53,"&gt;"&amp;CF45,$BC$6:$BC$53,INDEX(T_Equipos[Grupo],MATCH(BD45,T_Equipos[NombreEquipo],0)))</f>
        <v>4</v>
      </c>
      <c r="CH45" s="755" t="str">
        <f ca="1">IF(COUNTIFS($CG$6:$CG$53,CG45,$BC$6:$BC$53,INDEX(T_Equipos[Grupo],MATCH(BD45,T_Equipos[NombreEquipo],0)))=1,"-","P."&amp;CG45&amp;" ("&amp;COUNTIFS($CG$6:$CG$53,CG45,$BC$6:$BC$53,INDEX(T_Equipos[Grupo],MATCH(BD45,T_Equipos[NombreEquipo],0)))&amp;")")</f>
        <v>-</v>
      </c>
      <c r="CI45" s="756" t="str">
        <f t="shared" ca="1" si="44"/>
        <v>-</v>
      </c>
      <c r="CJ45" s="756" t="str">
        <f t="shared" ca="1" si="45"/>
        <v>-</v>
      </c>
      <c r="CK45" s="756" t="str">
        <f t="shared" ca="1" si="46"/>
        <v>-</v>
      </c>
      <c r="CL45" s="756" t="str">
        <f t="shared" ca="1" si="47"/>
        <v>-</v>
      </c>
      <c r="CM45" s="756">
        <f ca="1">CG45+COUNTIFS($CH$6:$CH$53,CH45,$CL$6:CL$53,"&gt;"&amp;CL45,$BC$6:$BC$53,INDEX(T_Equipos[Grupo],MATCH(BD45,T_Equipos[NombreEquipo],0)))</f>
        <v>4</v>
      </c>
      <c r="CN45" s="755" t="str">
        <f ca="1">IF(COUNTIFS($CM$6:$CM$53,CM45,$BC$6:$BC$53,INDEX(T_Equipos[Grupo],MATCH(BD45,T_Equipos[NombreEquipo],0)))=1,"-","P."&amp;CM45&amp;" ("&amp;COUNTIFS($CM$6:$CM$53,CM45,$BC$6:$BC$53,INDEX(T_Equipos[Grupo],MATCH(BD45,T_Equipos[NombreEquipo],0)))&amp;")")</f>
        <v>-</v>
      </c>
      <c r="CO45" s="756" t="str">
        <f t="shared" ca="1" si="48"/>
        <v>-</v>
      </c>
      <c r="CP45" s="756" t="str">
        <f t="shared" ca="1" si="49"/>
        <v>-</v>
      </c>
      <c r="CQ45" s="756" t="str">
        <f t="shared" ca="1" si="50"/>
        <v>-</v>
      </c>
      <c r="CR45" s="756">
        <f ca="1">CM45+COUNTIFS($CN$6:$CN$53,CN45,$CQ$6:CQ$53,"&gt;"&amp;CQ45,$BC$6:$BC$53,INDEX(T_Equipos[Grupo],MATCH(BD45,T_Equipos[NombreEquipo],0)))</f>
        <v>4</v>
      </c>
      <c r="CS45" s="755" t="str">
        <f ca="1">IF(COUNTIFS($CR$6:$CR$53,CR45,$BC$6:$BC$53,INDEX(T_Equipos[Grupo],MATCH(BD45,T_Equipos[NombreEquipo],0)))=1,"-","P."&amp;CR45&amp;" ("&amp;COUNTIFS($CR$6:$CR$53,CR45,$BC$6:$BC$53,INDEX(T_Equipos[Grupo],MATCH(BD45,T_Equipos[NombreEquipo],0)))&amp;")")</f>
        <v>-</v>
      </c>
      <c r="CT45" s="756" t="str">
        <f t="shared" ca="1" si="51"/>
        <v>-</v>
      </c>
      <c r="CU45" s="756">
        <f ca="1">CR45+COUNTIFS($CS$6:$CS$53,CS45,$CT$6:CT$53,"&gt;"&amp;CT45,$BC$6:$BC$53,INDEX(T_Equipos[Grupo],MATCH(BD45,T_Equipos[NombreEquipo],0)))</f>
        <v>4</v>
      </c>
      <c r="CV45" s="755" t="str">
        <f ca="1">IF(COUNTIFS($CU$6:$CU$53,CU45,$BC$6:$BC$53,INDEX(T_Equipos[Grupo],MATCH(BD45,T_Equipos[NombreEquipo],0)))=1,"-","P."&amp;CU45&amp;" ("&amp;COUNTIFS($CU$6:$CU$53,CU45,$BC$6:$BC$53,INDEX(T_Equipos[Grupo],MATCH(BD45,T_Equipos[NombreEquipo],0)))&amp;")")</f>
        <v>-</v>
      </c>
      <c r="CW45" s="755" t="str">
        <f t="shared" ca="1" si="30"/>
        <v>-</v>
      </c>
      <c r="CX45" s="755">
        <f ca="1">CU45+COUNTIFS($CV$6:$CV$53,CV45,$CW$6:CW$53,"&gt;"&amp;CW45,$BC$6:$BC$53,INDEX(T_Equipos[Grupo],MATCH(BD45,T_Equipos[NombreEquipo],0)))</f>
        <v>4</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4</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4</v>
      </c>
      <c r="DE45" s="754"/>
      <c r="DF45" s="754">
        <f t="shared" ca="1" si="52"/>
        <v>4</v>
      </c>
      <c r="DG45" s="754" t="str">
        <f ca="1">IF(DB45="-","-",COUNTIFS(DF$6:DF$53,"&lt;"&amp;DF45,$BC$6:$BC$53,INDEX(T_Equipos[Grupo],MATCH(BD45,T_Equipos[NombreEquipo],0))))</f>
        <v>-</v>
      </c>
      <c r="DH45" s="754">
        <f ca="1">DA45+COUNTIFS(DB$6:DB$53,DB45,DG$6:DG$53,"&lt;"&amp;DG45,$BC$6:$BC$53,INDEX(T_Equipos[Grupo],MATCH(BD45,T_Equipos[NombreEquipo],0)))</f>
        <v>4</v>
      </c>
      <c r="DI45" s="742"/>
      <c r="DJ45" s="742">
        <f t="shared" ca="1" si="53"/>
        <v>4</v>
      </c>
      <c r="DK45" s="742">
        <f t="shared" ca="1" si="24"/>
        <v>12</v>
      </c>
      <c r="DL45" s="742">
        <f t="shared" ca="1" si="33"/>
        <v>1</v>
      </c>
      <c r="DM45" s="736" t="str">
        <f t="shared" ca="1" si="34"/>
        <v>4.1</v>
      </c>
      <c r="DN45" s="742" cm="1">
        <f t="array" aca="1" ref="DN45" ca="1">OFFSET(Horarios!$P$3,DJ45-1,0,DL45,1)</f>
        <v>4</v>
      </c>
      <c r="DO45" s="742"/>
      <c r="DP45" s="742" t="s">
        <v>678</v>
      </c>
      <c r="DQ45" s="742" t="str">
        <f t="shared" ca="1" si="35"/>
        <v>Jordania</v>
      </c>
      <c r="DR45" s="742"/>
      <c r="DS45" s="742"/>
      <c r="DT45" s="742" t="str">
        <f t="shared" ca="1" si="15"/>
        <v>Suecia-Túnez</v>
      </c>
      <c r="DU45" s="742"/>
      <c r="DV45" s="742"/>
      <c r="DW45" s="8"/>
    </row>
    <row r="46" spans="1:127" ht="16.05" customHeight="1">
      <c r="A46" s="743" t="str">
        <f ca="1">+Equipos!B23</f>
        <v>Japón</v>
      </c>
      <c r="B46" s="740"/>
      <c r="C46" s="744"/>
      <c r="D46" s="742" t="str">
        <f t="shared" si="136"/>
        <v>Local</v>
      </c>
      <c r="E46" s="742" t="str">
        <f t="shared" ca="1" si="137"/>
        <v>-</v>
      </c>
      <c r="F46" s="742" t="str">
        <f t="shared" ca="1" si="138"/>
        <v>-</v>
      </c>
      <c r="G46" s="742"/>
      <c r="H46" s="742" t="str">
        <f t="shared" ca="1" si="139"/>
        <v>-</v>
      </c>
      <c r="I46" s="742" t="str">
        <f t="shared" ca="1" si="140"/>
        <v>-</v>
      </c>
      <c r="J46" s="742"/>
      <c r="K46" s="742" t="str">
        <f t="shared" ca="1" si="141"/>
        <v>-</v>
      </c>
      <c r="L46" s="742" t="str">
        <f t="shared" ca="1" si="142"/>
        <v>-</v>
      </c>
      <c r="M46" s="742"/>
      <c r="N46" s="742" t="str">
        <f t="shared" ca="1" si="143"/>
        <v>-</v>
      </c>
      <c r="O46" s="742" t="str">
        <f t="shared" ca="1" si="144"/>
        <v>-</v>
      </c>
      <c r="P46" s="742"/>
      <c r="Q46" s="742" t="str">
        <f t="shared" ca="1" si="145"/>
        <v>-</v>
      </c>
      <c r="R46" s="742" t="str">
        <f t="shared" ca="1" si="146"/>
        <v>-</v>
      </c>
      <c r="S46" s="742"/>
      <c r="T46" s="742" t="str">
        <f t="shared" ca="1" si="147"/>
        <v>-</v>
      </c>
      <c r="U46" s="742" t="str">
        <f t="shared" ca="1" si="148"/>
        <v>-</v>
      </c>
      <c r="V46" s="172"/>
      <c r="W46" s="82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5</v>
      </c>
      <c r="BF46" s="746">
        <f t="shared" ca="1" si="26"/>
        <v>3</v>
      </c>
      <c r="BG46" s="746">
        <f t="shared" ca="1" si="17"/>
        <v>1</v>
      </c>
      <c r="BH46" s="746">
        <f t="shared" ca="1" si="18"/>
        <v>2</v>
      </c>
      <c r="BI46" s="746">
        <f t="shared" ca="1" si="19"/>
        <v>0</v>
      </c>
      <c r="BJ46" s="746">
        <f t="shared" ca="1" si="20"/>
        <v>6</v>
      </c>
      <c r="BK46" s="746">
        <f t="shared" ca="1" si="21"/>
        <v>1</v>
      </c>
      <c r="BL46" s="746">
        <f t="shared" ca="1" si="27"/>
        <v>5</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5</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v>
      </c>
      <c r="BU46" s="756" t="str">
        <f t="shared" ca="1" si="36"/>
        <v>-</v>
      </c>
      <c r="BV46" s="756" t="str">
        <f t="shared" ca="1" si="37"/>
        <v>-</v>
      </c>
      <c r="BW46" s="756" t="str">
        <f t="shared" ca="1" si="38"/>
        <v>-</v>
      </c>
      <c r="BX46" s="756" t="str">
        <f t="shared" ca="1" si="39"/>
        <v>-</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v>
      </c>
      <c r="CA46" s="756" t="str">
        <f t="shared" ca="1" si="40"/>
        <v>-</v>
      </c>
      <c r="CB46" s="756" t="str">
        <f t="shared" ca="1" si="41"/>
        <v>-</v>
      </c>
      <c r="CC46" s="756" t="str">
        <f t="shared" ca="1" si="42"/>
        <v>-</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v>
      </c>
      <c r="CF46" s="756" t="str">
        <f t="shared" ca="1" si="43"/>
        <v>-</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v>
      </c>
      <c r="CI46" s="756" t="str">
        <f t="shared" ca="1" si="44"/>
        <v>-</v>
      </c>
      <c r="CJ46" s="756" t="str">
        <f t="shared" ca="1" si="45"/>
        <v>-</v>
      </c>
      <c r="CK46" s="756" t="str">
        <f t="shared" ca="1" si="46"/>
        <v>-</v>
      </c>
      <c r="CL46" s="756" t="str">
        <f t="shared" ca="1" si="47"/>
        <v>-</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v>
      </c>
      <c r="CO46" s="756" t="str">
        <f t="shared" ca="1" si="48"/>
        <v>-</v>
      </c>
      <c r="CP46" s="756" t="str">
        <f t="shared" ca="1" si="49"/>
        <v>-</v>
      </c>
      <c r="CQ46" s="756" t="str">
        <f t="shared" ca="1" si="50"/>
        <v>-</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v>
      </c>
      <c r="CT46" s="756" t="str">
        <f t="shared" ca="1" si="51"/>
        <v>-</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v>
      </c>
      <c r="CW46" s="755" t="str">
        <f t="shared" ca="1" si="30"/>
        <v>-</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v>
      </c>
      <c r="CZ46" s="755" t="str">
        <f t="shared" ca="1" si="31"/>
        <v>-</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v>
      </c>
      <c r="DC46" s="754" t="str">
        <f ca="1">IF(DB46="-","-",COUNTIFS(T_Equipos[Rank],"&lt;"&amp;INDEX(T_Equipos[Rank],MATCH(BD46,T_Equipos[NombreEquipo],0)),$BC$6:$BC$53,INDEX(T_Equipos[Grupo],MATCH(BD46,T_Equipos[NombreEquipo],0)))+1)</f>
        <v>-</v>
      </c>
      <c r="DD46" s="754">
        <f ca="1">DA46+COUNTIFS($DB$6:$DB$53,DB46,$DC$6:DC$53,"&lt;"&amp;DC46,$BC$6:$BC$53,INDEX(T_Equipos[Grupo],MATCH(BD46,T_Equipos[NombreEquipo],0)))</f>
        <v>2</v>
      </c>
      <c r="DE46" s="754"/>
      <c r="DF46" s="754">
        <f t="shared" ca="1" si="52"/>
        <v>2</v>
      </c>
      <c r="DG46" s="754" t="str">
        <f ca="1">IF(DB46="-","-",COUNTIFS(DF$6:DF$53,"&lt;"&amp;DF46,$BC$6:$BC$53,INDEX(T_Equipos[Grupo],MATCH(BD46,T_Equipos[NombreEquipo],0))))</f>
        <v>-</v>
      </c>
      <c r="DH46" s="754">
        <f ca="1">DA46+COUNTIFS(DB$6:DB$53,DB46,DG$6:DG$53,"&lt;"&amp;DG46,$BC$6:$BC$53,INDEX(T_Equipos[Grupo],MATCH(BD46,T_Equipos[NombreEquipo],0)))</f>
        <v>2</v>
      </c>
      <c r="DI46" s="742"/>
      <c r="DJ46" s="742">
        <f t="shared" ca="1" si="53"/>
        <v>1</v>
      </c>
      <c r="DK46" s="742">
        <f t="shared" ca="1" si="24"/>
        <v>12</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6.05" customHeight="1">
      <c r="A47" s="743" t="str">
        <f ca="1">+Equipos!B24</f>
        <v>Suecia</v>
      </c>
      <c r="B47" s="740"/>
      <c r="C47" s="742"/>
      <c r="D47" s="742" t="str">
        <f t="shared" si="136"/>
        <v>Visitante</v>
      </c>
      <c r="E47" s="742" t="str">
        <f t="shared" ca="1" si="137"/>
        <v>-</v>
      </c>
      <c r="F47" s="742" t="str">
        <f t="shared" ca="1" si="138"/>
        <v>-</v>
      </c>
      <c r="G47" s="742"/>
      <c r="H47" s="742" t="str">
        <f t="shared" ca="1" si="139"/>
        <v>-</v>
      </c>
      <c r="I47" s="742" t="str">
        <f t="shared" ca="1" si="140"/>
        <v>-</v>
      </c>
      <c r="J47" s="742"/>
      <c r="K47" s="742" t="str">
        <f t="shared" ca="1" si="141"/>
        <v>-</v>
      </c>
      <c r="L47" s="742" t="str">
        <f t="shared" ca="1" si="142"/>
        <v>-</v>
      </c>
      <c r="M47" s="742"/>
      <c r="N47" s="742" t="str">
        <f t="shared" ca="1" si="143"/>
        <v>-</v>
      </c>
      <c r="O47" s="742" t="str">
        <f t="shared" ca="1" si="144"/>
        <v>-</v>
      </c>
      <c r="P47" s="742"/>
      <c r="Q47" s="742" t="str">
        <f t="shared" ca="1" si="145"/>
        <v>-</v>
      </c>
      <c r="R47" s="742" t="str">
        <f t="shared" ca="1" si="146"/>
        <v>-</v>
      </c>
      <c r="S47" s="742"/>
      <c r="T47" s="742" t="str">
        <f t="shared" ca="1" si="147"/>
        <v>-</v>
      </c>
      <c r="U47" s="742" t="str">
        <f t="shared" ca="1" si="148"/>
        <v>-</v>
      </c>
      <c r="V47" s="172"/>
      <c r="W47" s="82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4</v>
      </c>
      <c r="BF47" s="746">
        <f t="shared" ca="1" si="26"/>
        <v>3</v>
      </c>
      <c r="BG47" s="746">
        <f t="shared" ca="1" si="17"/>
        <v>1</v>
      </c>
      <c r="BH47" s="746">
        <f t="shared" ca="1" si="18"/>
        <v>1</v>
      </c>
      <c r="BI47" s="746">
        <f t="shared" ca="1" si="19"/>
        <v>1</v>
      </c>
      <c r="BJ47" s="746">
        <f t="shared" ca="1" si="20"/>
        <v>4</v>
      </c>
      <c r="BK47" s="746">
        <f t="shared" ca="1" si="21"/>
        <v>3</v>
      </c>
      <c r="BL47" s="746">
        <f t="shared" ca="1" si="27"/>
        <v>1</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4</v>
      </c>
      <c r="BS47" s="755">
        <f ca="1">BP47+COUNTIFS($BQ$6:$BQ$53,BQ47,$BR$6:BR$53,"&gt;"&amp;BR47,$BC$6:$BC$53,INDEX(T_Equipos[Grupo],MATCH(BD47,T_Equipos[NombreEquipo],0)))</f>
        <v>3</v>
      </c>
      <c r="BT47" s="755" t="str">
        <f ca="1">IF(COUNTIFS($BS$6:$BS$53,BS47,$BC$6:$BC$53,INDEX(T_Equipos[Grupo],MATCH(BD47,T_Equipos[NombreEquipo],0)))=1,"-","P."&amp;BS47&amp;" ("&amp;COUNTIFS($BS$6:$BS$53,BS47,$BC$6:$BC$53,INDEX(T_Equipos[Grupo],MATCH(BD47,T_Equipos[NombreEquipo],0)))&amp;")")</f>
        <v>-</v>
      </c>
      <c r="BU47" s="756" t="str">
        <f t="shared" ca="1" si="36"/>
        <v>-</v>
      </c>
      <c r="BV47" s="756" t="str">
        <f t="shared" ca="1" si="37"/>
        <v>-</v>
      </c>
      <c r="BW47" s="756" t="str">
        <f t="shared" ca="1" si="38"/>
        <v>-</v>
      </c>
      <c r="BX47" s="756" t="str">
        <f t="shared" ca="1" si="39"/>
        <v>-</v>
      </c>
      <c r="BY47" s="756">
        <f ca="1">BS47+COUNTIFS($BT$6:$BT$53,BT47,$BX$6:BX$53,"&gt;"&amp;BX47,$BC$6:$BC$53,INDEX(T_Equipos[Grupo],MATCH(BD47,T_Equipos[NombreEquipo],0)))</f>
        <v>3</v>
      </c>
      <c r="BZ47" s="755" t="str">
        <f ca="1">IF(COUNTIFS($BY$6:$BY$53,BY47,$BC$6:$BC$53,INDEX(T_Equipos[Grupo],MATCH(BD47,T_Equipos[NombreEquipo],0)))=1,"-","P."&amp;BY47&amp;" ("&amp;COUNTIFS($BY$6:$BY$53,BY47,$BC$6:$BC$53,INDEX(T_Equipos[Grupo],MATCH(BD47,T_Equipos[NombreEquipo],0)))&amp;")")</f>
        <v>-</v>
      </c>
      <c r="CA47" s="756" t="str">
        <f t="shared" ca="1" si="40"/>
        <v>-</v>
      </c>
      <c r="CB47" s="756" t="str">
        <f t="shared" ca="1" si="41"/>
        <v>-</v>
      </c>
      <c r="CC47" s="756" t="str">
        <f t="shared" ca="1" si="42"/>
        <v>-</v>
      </c>
      <c r="CD47" s="756">
        <f ca="1">BY47+COUNTIFS($BZ$6:$BZ$53,BZ47,$CC$6:CC$53,"&gt;"&amp;CC47,$BC$6:$BC$53,INDEX(T_Equipos[Grupo],MATCH(BD47,T_Equipos[NombreEquipo],0)))</f>
        <v>3</v>
      </c>
      <c r="CE47" s="755" t="str">
        <f ca="1">IF(COUNTIFS($CD$6:$CD$53,CD47,$BC$6:$BC$53,INDEX(T_Equipos[Grupo],MATCH(BD47,T_Equipos[NombreEquipo],0)))=1,"-","P."&amp;CD47&amp;" ("&amp;COUNTIFS($CD$6:$CD$53,CD47,$BC$6:$BC$53,INDEX(T_Equipos[Grupo],MATCH(BD47,T_Equipos[NombreEquipo],0)))&amp;")")</f>
        <v>-</v>
      </c>
      <c r="CF47" s="756" t="str">
        <f t="shared" ca="1" si="43"/>
        <v>-</v>
      </c>
      <c r="CG47" s="756">
        <f ca="1">CD47+COUNTIFS($CE$6:$CE$53,CE47,$CF$6:CF$53,"&gt;"&amp;CF47,$BC$6:$BC$53,INDEX(T_Equipos[Grupo],MATCH(BD47,T_Equipos[NombreEquipo],0)))</f>
        <v>3</v>
      </c>
      <c r="CH47" s="755" t="str">
        <f ca="1">IF(COUNTIFS($CG$6:$CG$53,CG47,$BC$6:$BC$53,INDEX(T_Equipos[Grupo],MATCH(BD47,T_Equipos[NombreEquipo],0)))=1,"-","P."&amp;CG47&amp;" ("&amp;COUNTIFS($CG$6:$CG$53,CG47,$BC$6:$BC$53,INDEX(T_Equipos[Grupo],MATCH(BD47,T_Equipos[NombreEquipo],0)))&amp;")")</f>
        <v>-</v>
      </c>
      <c r="CI47" s="756" t="str">
        <f t="shared" ca="1" si="44"/>
        <v>-</v>
      </c>
      <c r="CJ47" s="756" t="str">
        <f t="shared" ca="1" si="45"/>
        <v>-</v>
      </c>
      <c r="CK47" s="756" t="str">
        <f t="shared" ca="1" si="46"/>
        <v>-</v>
      </c>
      <c r="CL47" s="756" t="str">
        <f t="shared" ca="1" si="47"/>
        <v>-</v>
      </c>
      <c r="CM47" s="756">
        <f ca="1">CG47+COUNTIFS($CH$6:$CH$53,CH47,$CL$6:CL$53,"&gt;"&amp;CL47,$BC$6:$BC$53,INDEX(T_Equipos[Grupo],MATCH(BD47,T_Equipos[NombreEquipo],0)))</f>
        <v>3</v>
      </c>
      <c r="CN47" s="755" t="str">
        <f ca="1">IF(COUNTIFS($CM$6:$CM$53,CM47,$BC$6:$BC$53,INDEX(T_Equipos[Grupo],MATCH(BD47,T_Equipos[NombreEquipo],0)))=1,"-","P."&amp;CM47&amp;" ("&amp;COUNTIFS($CM$6:$CM$53,CM47,$BC$6:$BC$53,INDEX(T_Equipos[Grupo],MATCH(BD47,T_Equipos[NombreEquipo],0)))&amp;")")</f>
        <v>-</v>
      </c>
      <c r="CO47" s="756" t="str">
        <f t="shared" ca="1" si="48"/>
        <v>-</v>
      </c>
      <c r="CP47" s="756" t="str">
        <f t="shared" ca="1" si="49"/>
        <v>-</v>
      </c>
      <c r="CQ47" s="756" t="str">
        <f t="shared" ca="1" si="50"/>
        <v>-</v>
      </c>
      <c r="CR47" s="756">
        <f ca="1">CM47+COUNTIFS($CN$6:$CN$53,CN47,$CQ$6:CQ$53,"&gt;"&amp;CQ47,$BC$6:$BC$53,INDEX(T_Equipos[Grupo],MATCH(BD47,T_Equipos[NombreEquipo],0)))</f>
        <v>3</v>
      </c>
      <c r="CS47" s="755" t="str">
        <f ca="1">IF(COUNTIFS($CR$6:$CR$53,CR47,$BC$6:$BC$53,INDEX(T_Equipos[Grupo],MATCH(BD47,T_Equipos[NombreEquipo],0)))=1,"-","P."&amp;CR47&amp;" ("&amp;COUNTIFS($CR$6:$CR$53,CR47,$BC$6:$BC$53,INDEX(T_Equipos[Grupo],MATCH(BD47,T_Equipos[NombreEquipo],0)))&amp;")")</f>
        <v>-</v>
      </c>
      <c r="CT47" s="756" t="str">
        <f t="shared" ca="1" si="51"/>
        <v>-</v>
      </c>
      <c r="CU47" s="756">
        <f ca="1">CR47+COUNTIFS($CS$6:$CS$53,CS47,$CT$6:CT$53,"&gt;"&amp;CT47,$BC$6:$BC$53,INDEX(T_Equipos[Grupo],MATCH(BD47,T_Equipos[NombreEquipo],0)))</f>
        <v>3</v>
      </c>
      <c r="CV47" s="755" t="str">
        <f ca="1">IF(COUNTIFS($CU$6:$CU$53,CU47,$BC$6:$BC$53,INDEX(T_Equipos[Grupo],MATCH(BD47,T_Equipos[NombreEquipo],0)))=1,"-","P."&amp;CU47&amp;" ("&amp;COUNTIFS($CU$6:$CU$53,CU47,$BC$6:$BC$53,INDEX(T_Equipos[Grupo],MATCH(BD47,T_Equipos[NombreEquipo],0)))&amp;")")</f>
        <v>-</v>
      </c>
      <c r="CW47" s="755" t="str">
        <f t="shared" ca="1" si="30"/>
        <v>-</v>
      </c>
      <c r="CX47" s="755">
        <f ca="1">CU47+COUNTIFS($CV$6:$CV$53,CV47,$CW$6:CW$53,"&gt;"&amp;CW47,$BC$6:$BC$53,INDEX(T_Equipos[Grupo],MATCH(BD47,T_Equipos[NombreEquipo],0)))</f>
        <v>3</v>
      </c>
      <c r="CY47" s="755" t="str">
        <f ca="1">IF(COUNTIFS($CX$6:$CX$53,CX47,$BC$6:$BC$53,INDEX(T_Equipos[Grupo],MATCH(BD47,T_Equipos[NombreEquipo],0)))=1,"-","P."&amp;CX47&amp;" ("&amp;COUNTIFS($CX$6:$CX$53,CX47,$BC$6:$BC$53,INDEX(T_Equipos[Grupo],MATCH(BD47,T_Equipos[NombreEquipo],0)))&amp;")")</f>
        <v>-</v>
      </c>
      <c r="CZ47" s="755" t="str">
        <f t="shared" ca="1" si="31"/>
        <v>-</v>
      </c>
      <c r="DA47" s="756">
        <f ca="1">CX47+COUNTIFS($CY$6:$CY$53,CY47,$CZ$6:CZ$53,"&gt;"&amp;CZ47,$BC$6:$BC$53,INDEX(T_Equipos[Grupo],MATCH(BD47,T_Equipos[NombreEquipo],0)))</f>
        <v>3</v>
      </c>
      <c r="DB47" s="755" t="str">
        <f ca="1">IF(COUNTIFS($DA$6:$DA$53,DA47,$BC$6:$BC$53,INDEX(T_Equipos[Grupo],MATCH(BD47,T_Equipos[NombreEquipo],0)))=1,"-","P."&amp;DA47&amp;" ("&amp;COUNTIFS($DA$6:$DA$53,DA47,$BC$6:$BC$53,INDEX(T_Equipos[Grupo],MATCH(BD47,T_Equipos[NombreEquipo],0)))&amp;")")</f>
        <v>-</v>
      </c>
      <c r="DC47" s="754" t="str">
        <f ca="1">IF(DB47="-","-",COUNTIFS(T_Equipos[Rank],"&lt;"&amp;INDEX(T_Equipos[Rank],MATCH(BD47,T_Equipos[NombreEquipo],0)),$BC$6:$BC$53,INDEX(T_Equipos[Grupo],MATCH(BD47,T_Equipos[NombreEquipo],0)))+1)</f>
        <v>-</v>
      </c>
      <c r="DD47" s="754">
        <f ca="1">DA47+COUNTIFS($DB$6:$DB$53,DB47,$DC$6:DC$53,"&lt;"&amp;DC47,$BC$6:$BC$53,INDEX(T_Equipos[Grupo],MATCH(BD47,T_Equipos[NombreEquipo],0)))</f>
        <v>3</v>
      </c>
      <c r="DE47" s="754"/>
      <c r="DF47" s="754">
        <f t="shared" ca="1" si="52"/>
        <v>3</v>
      </c>
      <c r="DG47" s="754" t="str">
        <f ca="1">IF(DB47="-","-",COUNTIFS(DF$6:DF$53,"&lt;"&amp;DF47,$BC$6:$BC$53,INDEX(T_Equipos[Grupo],MATCH(BD47,T_Equipos[NombreEquipo],0))))</f>
        <v>-</v>
      </c>
      <c r="DH47" s="754">
        <f ca="1">DA47+COUNTIFS(DB$6:DB$53,DB47,DG$6:DG$53,"&lt;"&amp;DG47,$BC$6:$BC$53,INDEX(T_Equipos[Grupo],MATCH(BD47,T_Equipos[NombreEquipo],0)))</f>
        <v>3</v>
      </c>
      <c r="DI47" s="742"/>
      <c r="DJ47" s="742">
        <f t="shared" ca="1" si="53"/>
        <v>2</v>
      </c>
      <c r="DK47" s="742">
        <f t="shared" ca="1" si="24"/>
        <v>12</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6.05" customHeight="1">
      <c r="A48" s="743" t="str">
        <f ca="1">+Equipos!B25</f>
        <v>Túnez</v>
      </c>
      <c r="B48" s="740"/>
      <c r="C48" s="742"/>
      <c r="D48" s="742" t="str">
        <f t="shared" si="136"/>
        <v>Empate</v>
      </c>
      <c r="E48" s="742" t="str">
        <f t="shared" ca="1" si="137"/>
        <v>-</v>
      </c>
      <c r="F48" s="742" t="str">
        <f t="shared" ca="1" si="138"/>
        <v>-</v>
      </c>
      <c r="G48" s="742"/>
      <c r="H48" s="742" t="str">
        <f t="shared" ca="1" si="139"/>
        <v>-</v>
      </c>
      <c r="I48" s="742" t="str">
        <f t="shared" ca="1" si="140"/>
        <v>-</v>
      </c>
      <c r="J48" s="742"/>
      <c r="K48" s="742" t="str">
        <f t="shared" ca="1" si="141"/>
        <v>-</v>
      </c>
      <c r="L48" s="742" t="str">
        <f t="shared" ca="1" si="142"/>
        <v>-</v>
      </c>
      <c r="M48" s="742"/>
      <c r="N48" s="742" t="str">
        <f t="shared" ca="1" si="143"/>
        <v>-</v>
      </c>
      <c r="O48" s="742" t="str">
        <f t="shared" ca="1" si="144"/>
        <v>-</v>
      </c>
      <c r="P48" s="742"/>
      <c r="Q48" s="742" t="str">
        <f t="shared" ca="1" si="145"/>
        <v>-</v>
      </c>
      <c r="R48" s="742" t="str">
        <f t="shared" ca="1" si="146"/>
        <v>-</v>
      </c>
      <c r="S48" s="742"/>
      <c r="T48" s="742" t="str">
        <f t="shared" ca="1" si="147"/>
        <v>-</v>
      </c>
      <c r="U48" s="742" t="str">
        <f t="shared" ca="1" si="148"/>
        <v>-</v>
      </c>
      <c r="V48" s="172"/>
      <c r="W48" s="82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3</v>
      </c>
      <c r="BG48" s="746">
        <f t="shared" ca="1" si="17"/>
        <v>0</v>
      </c>
      <c r="BH48" s="746">
        <f t="shared" ca="1" si="18"/>
        <v>0</v>
      </c>
      <c r="BI48" s="746">
        <f t="shared" ca="1" si="19"/>
        <v>3</v>
      </c>
      <c r="BJ48" s="746">
        <f t="shared" ca="1" si="20"/>
        <v>2</v>
      </c>
      <c r="BK48" s="746">
        <f t="shared" ca="1" si="21"/>
        <v>11</v>
      </c>
      <c r="BL48" s="746">
        <f t="shared" ca="1" si="27"/>
        <v>-9</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3</v>
      </c>
      <c r="DK48" s="742">
        <f t="shared" ca="1" si="24"/>
        <v>12</v>
      </c>
      <c r="DL48" s="742">
        <f t="shared" ca="1" si="33"/>
        <v>1</v>
      </c>
      <c r="DM48" s="736" t="str">
        <f t="shared" ca="1" si="34"/>
        <v>3.1</v>
      </c>
      <c r="DN48" s="742" cm="1">
        <f t="array" aca="1" ref="DN48" ca="1">OFFSET(Horarios!$P$3,DJ48-1,0,DL48,1)</f>
        <v>3</v>
      </c>
      <c r="DO48" s="742"/>
      <c r="DP48" s="742" t="s">
        <v>442</v>
      </c>
      <c r="DQ48" s="742" t="str">
        <f t="shared" ca="1" si="35"/>
        <v>RD Congo</v>
      </c>
      <c r="DR48" s="742"/>
      <c r="DS48" s="742"/>
      <c r="DT48" s="742" t="str">
        <f t="shared" ca="1" si="15"/>
        <v>Japón-Suecia</v>
      </c>
      <c r="DU48" s="742"/>
      <c r="DV48" s="742"/>
      <c r="DW48" s="8"/>
    </row>
    <row r="49" spans="1:127" ht="16.95" customHeight="1" thickBot="1">
      <c r="A49" s="737"/>
      <c r="B49" s="737"/>
      <c r="C49" s="737"/>
      <c r="D49" s="742" t="str">
        <f t="shared" si="136"/>
        <v>Visitante</v>
      </c>
      <c r="E49" s="742" t="str">
        <f t="shared" ca="1" si="137"/>
        <v>-</v>
      </c>
      <c r="F49" s="742" t="str">
        <f t="shared" ca="1" si="138"/>
        <v>-</v>
      </c>
      <c r="G49" s="742"/>
      <c r="H49" s="742" t="str">
        <f t="shared" ca="1" si="139"/>
        <v>-</v>
      </c>
      <c r="I49" s="742" t="str">
        <f t="shared" ca="1" si="140"/>
        <v>-</v>
      </c>
      <c r="J49" s="742"/>
      <c r="K49" s="742" t="str">
        <f t="shared" ca="1" si="141"/>
        <v>-</v>
      </c>
      <c r="L49" s="742" t="str">
        <f t="shared" ca="1" si="142"/>
        <v>-</v>
      </c>
      <c r="M49" s="742"/>
      <c r="N49" s="742" t="str">
        <f t="shared" ca="1" si="143"/>
        <v>-</v>
      </c>
      <c r="O49" s="742" t="str">
        <f t="shared" ca="1" si="144"/>
        <v>-</v>
      </c>
      <c r="P49" s="742"/>
      <c r="Q49" s="742" t="str">
        <f t="shared" ca="1" si="145"/>
        <v>-</v>
      </c>
      <c r="R49" s="742" t="str">
        <f t="shared" ca="1" si="146"/>
        <v>-</v>
      </c>
      <c r="S49" s="742"/>
      <c r="T49" s="742" t="str">
        <f t="shared" ca="1" si="147"/>
        <v>-</v>
      </c>
      <c r="U49" s="742" t="str">
        <f t="shared" ca="1" si="148"/>
        <v>-</v>
      </c>
      <c r="V49" s="172"/>
      <c r="W49" s="82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7</v>
      </c>
      <c r="BF49" s="746">
        <f t="shared" ca="1" si="26"/>
        <v>3</v>
      </c>
      <c r="BG49" s="746">
        <f t="shared" ca="1" si="17"/>
        <v>2</v>
      </c>
      <c r="BH49" s="746">
        <f t="shared" ca="1" si="18"/>
        <v>1</v>
      </c>
      <c r="BI49" s="746">
        <f t="shared" ca="1" si="19"/>
        <v>0</v>
      </c>
      <c r="BJ49" s="746">
        <f t="shared" ca="1" si="20"/>
        <v>4</v>
      </c>
      <c r="BK49" s="746">
        <f t="shared" ca="1" si="21"/>
        <v>1</v>
      </c>
      <c r="BL49" s="746">
        <f t="shared" ca="1" si="27"/>
        <v>3</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7</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12</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7</v>
      </c>
      <c r="BF50" s="746">
        <f t="shared" ca="1" si="26"/>
        <v>3</v>
      </c>
      <c r="BG50" s="746">
        <f t="shared" ca="1" si="17"/>
        <v>2</v>
      </c>
      <c r="BH50" s="746">
        <f t="shared" ca="1" si="18"/>
        <v>1</v>
      </c>
      <c r="BI50" s="746">
        <f t="shared" ca="1" si="19"/>
        <v>0</v>
      </c>
      <c r="BJ50" s="746">
        <f t="shared" ca="1" si="20"/>
        <v>6</v>
      </c>
      <c r="BK50" s="746">
        <f t="shared" ca="1" si="21"/>
        <v>2</v>
      </c>
      <c r="BL50" s="746">
        <f t="shared" ca="1" si="27"/>
        <v>4</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7</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v>
      </c>
      <c r="BU50" s="756" t="str">
        <f t="shared" ca="1" si="36"/>
        <v>-</v>
      </c>
      <c r="BV50" s="756" t="str">
        <f t="shared" ca="1" si="37"/>
        <v>-</v>
      </c>
      <c r="BW50" s="756" t="str">
        <f t="shared" ca="1" si="38"/>
        <v>-</v>
      </c>
      <c r="BX50" s="756" t="str">
        <f t="shared" ca="1" si="39"/>
        <v>-</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v>
      </c>
      <c r="CA50" s="756" t="str">
        <f t="shared" ca="1" si="40"/>
        <v>-</v>
      </c>
      <c r="CB50" s="756" t="str">
        <f t="shared" ca="1" si="41"/>
        <v>-</v>
      </c>
      <c r="CC50" s="756" t="str">
        <f t="shared" ca="1" si="42"/>
        <v>-</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v>
      </c>
      <c r="CF50" s="756" t="str">
        <f t="shared" ca="1" si="43"/>
        <v>-</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v>
      </c>
      <c r="CI50" s="756" t="str">
        <f t="shared" ca="1" si="44"/>
        <v>-</v>
      </c>
      <c r="CJ50" s="756" t="str">
        <f t="shared" ca="1" si="45"/>
        <v>-</v>
      </c>
      <c r="CK50" s="756" t="str">
        <f t="shared" ca="1" si="46"/>
        <v>-</v>
      </c>
      <c r="CL50" s="756" t="str">
        <f t="shared" ca="1" si="47"/>
        <v>-</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v>
      </c>
      <c r="CO50" s="756" t="str">
        <f t="shared" ca="1" si="48"/>
        <v>-</v>
      </c>
      <c r="CP50" s="756" t="str">
        <f t="shared" ca="1" si="49"/>
        <v>-</v>
      </c>
      <c r="CQ50" s="756" t="str">
        <f t="shared" ca="1" si="50"/>
        <v>-</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v>
      </c>
      <c r="CT50" s="756" t="str">
        <f t="shared" ca="1" si="51"/>
        <v>-</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v>
      </c>
      <c r="CW50" s="755" t="str">
        <f t="shared" ca="1" si="30"/>
        <v>-</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12</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6</v>
      </c>
      <c r="BF51" s="746">
        <f t="shared" ca="1" si="26"/>
        <v>3</v>
      </c>
      <c r="BG51" s="746">
        <f t="shared" ca="1" si="17"/>
        <v>2</v>
      </c>
      <c r="BH51" s="746">
        <f t="shared" ca="1" si="18"/>
        <v>0</v>
      </c>
      <c r="BI51" s="746">
        <f t="shared" ca="1" si="19"/>
        <v>1</v>
      </c>
      <c r="BJ51" s="746">
        <f t="shared" ca="1" si="20"/>
        <v>5</v>
      </c>
      <c r="BK51" s="746">
        <f t="shared" ca="1" si="21"/>
        <v>5</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6</v>
      </c>
      <c r="BS51" s="755">
        <f ca="1">BP51+COUNTIFS($BQ$6:$BQ$53,BQ51,$BR$6:BR$53,"&gt;"&amp;BR51,$BC$6:$BC$53,INDEX(T_Equipos[Grupo],MATCH(BD51,T_Equipos[NombreEquipo],0)))</f>
        <v>2</v>
      </c>
      <c r="BT51" s="755" t="str">
        <f ca="1">IF(COUNTIFS($BS$6:$BS$53,BS51,$BC$6:$BC$53,INDEX(T_Equipos[Grupo],MATCH(BD51,T_Equipos[NombreEquipo],0)))=1,"-","P."&amp;BS51&amp;" ("&amp;COUNTIFS($BS$6:$BS$53,BS51,$BC$6:$BC$53,INDEX(T_Equipos[Grupo],MATCH(BD51,T_Equipos[NombreEquipo],0)))&amp;")")</f>
        <v>-</v>
      </c>
      <c r="BU51" s="756" t="str">
        <f t="shared" ca="1" si="36"/>
        <v>-</v>
      </c>
      <c r="BV51" s="756" t="str">
        <f t="shared" ca="1" si="37"/>
        <v>-</v>
      </c>
      <c r="BW51" s="756" t="str">
        <f t="shared" ca="1" si="38"/>
        <v>-</v>
      </c>
      <c r="BX51" s="756" t="str">
        <f t="shared" ca="1" si="39"/>
        <v>-</v>
      </c>
      <c r="BY51" s="756">
        <f ca="1">BS51+COUNTIFS($BT$6:$BT$53,BT51,$BX$6:BX$53,"&gt;"&amp;BX51,$BC$6:$BC$53,INDEX(T_Equipos[Grupo],MATCH(BD51,T_Equipos[NombreEquipo],0)))</f>
        <v>2</v>
      </c>
      <c r="BZ51" s="755" t="str">
        <f ca="1">IF(COUNTIFS($BY$6:$BY$53,BY51,$BC$6:$BC$53,INDEX(T_Equipos[Grupo],MATCH(BD51,T_Equipos[NombreEquipo],0)))=1,"-","P."&amp;BY51&amp;" ("&amp;COUNTIFS($BY$6:$BY$53,BY51,$BC$6:$BC$53,INDEX(T_Equipos[Grupo],MATCH(BD51,T_Equipos[NombreEquipo],0)))&amp;")")</f>
        <v>-</v>
      </c>
      <c r="CA51" s="756" t="str">
        <f t="shared" ca="1" si="40"/>
        <v>-</v>
      </c>
      <c r="CB51" s="756" t="str">
        <f t="shared" ca="1" si="41"/>
        <v>-</v>
      </c>
      <c r="CC51" s="756" t="str">
        <f t="shared" ca="1" si="42"/>
        <v>-</v>
      </c>
      <c r="CD51" s="756">
        <f ca="1">BY51+COUNTIFS($BZ$6:$BZ$53,BZ51,$CC$6:CC$53,"&gt;"&amp;CC51,$BC$6:$BC$53,INDEX(T_Equipos[Grupo],MATCH(BD51,T_Equipos[NombreEquipo],0)))</f>
        <v>2</v>
      </c>
      <c r="CE51" s="755" t="str">
        <f ca="1">IF(COUNTIFS($CD$6:$CD$53,CD51,$BC$6:$BC$53,INDEX(T_Equipos[Grupo],MATCH(BD51,T_Equipos[NombreEquipo],0)))=1,"-","P."&amp;CD51&amp;" ("&amp;COUNTIFS($CD$6:$CD$53,CD51,$BC$6:$BC$53,INDEX(T_Equipos[Grupo],MATCH(BD51,T_Equipos[NombreEquipo],0)))&amp;")")</f>
        <v>-</v>
      </c>
      <c r="CF51" s="756" t="str">
        <f t="shared" ca="1" si="43"/>
        <v>-</v>
      </c>
      <c r="CG51" s="756">
        <f ca="1">CD51+COUNTIFS($CE$6:$CE$53,CE51,$CF$6:CF$53,"&gt;"&amp;CF51,$BC$6:$BC$53,INDEX(T_Equipos[Grupo],MATCH(BD51,T_Equipos[NombreEquipo],0)))</f>
        <v>2</v>
      </c>
      <c r="CH51" s="755" t="str">
        <f ca="1">IF(COUNTIFS($CG$6:$CG$53,CG51,$BC$6:$BC$53,INDEX(T_Equipos[Grupo],MATCH(BD51,T_Equipos[NombreEquipo],0)))=1,"-","P."&amp;CG51&amp;" ("&amp;COUNTIFS($CG$6:$CG$53,CG51,$BC$6:$BC$53,INDEX(T_Equipos[Grupo],MATCH(BD51,T_Equipos[NombreEquipo],0)))&amp;")")</f>
        <v>-</v>
      </c>
      <c r="CI51" s="756" t="str">
        <f t="shared" ca="1" si="44"/>
        <v>-</v>
      </c>
      <c r="CJ51" s="756" t="str">
        <f t="shared" ca="1" si="45"/>
        <v>-</v>
      </c>
      <c r="CK51" s="756" t="str">
        <f t="shared" ca="1" si="46"/>
        <v>-</v>
      </c>
      <c r="CL51" s="756" t="str">
        <f t="shared" ca="1" si="47"/>
        <v>-</v>
      </c>
      <c r="CM51" s="756">
        <f ca="1">CG51+COUNTIFS($CH$6:$CH$53,CH51,$CL$6:CL$53,"&gt;"&amp;CL51,$BC$6:$BC$53,INDEX(T_Equipos[Grupo],MATCH(BD51,T_Equipos[NombreEquipo],0)))</f>
        <v>2</v>
      </c>
      <c r="CN51" s="755" t="str">
        <f ca="1">IF(COUNTIFS($CM$6:$CM$53,CM51,$BC$6:$BC$53,INDEX(T_Equipos[Grupo],MATCH(BD51,T_Equipos[NombreEquipo],0)))=1,"-","P."&amp;CM51&amp;" ("&amp;COUNTIFS($CM$6:$CM$53,CM51,$BC$6:$BC$53,INDEX(T_Equipos[Grupo],MATCH(BD51,T_Equipos[NombreEquipo],0)))&amp;")")</f>
        <v>-</v>
      </c>
      <c r="CO51" s="756" t="str">
        <f t="shared" ca="1" si="48"/>
        <v>-</v>
      </c>
      <c r="CP51" s="756" t="str">
        <f t="shared" ca="1" si="49"/>
        <v>-</v>
      </c>
      <c r="CQ51" s="756" t="str">
        <f t="shared" ca="1" si="50"/>
        <v>-</v>
      </c>
      <c r="CR51" s="756">
        <f ca="1">CM51+COUNTIFS($CN$6:$CN$53,CN51,$CQ$6:CQ$53,"&gt;"&amp;CQ51,$BC$6:$BC$53,INDEX(T_Equipos[Grupo],MATCH(BD51,T_Equipos[NombreEquipo],0)))</f>
        <v>2</v>
      </c>
      <c r="CS51" s="755" t="str">
        <f ca="1">IF(COUNTIFS($CR$6:$CR$53,CR51,$BC$6:$BC$53,INDEX(T_Equipos[Grupo],MATCH(BD51,T_Equipos[NombreEquipo],0)))=1,"-","P."&amp;CR51&amp;" ("&amp;COUNTIFS($CR$6:$CR$53,CR51,$BC$6:$BC$53,INDEX(T_Equipos[Grupo],MATCH(BD51,T_Equipos[NombreEquipo],0)))&amp;")")</f>
        <v>-</v>
      </c>
      <c r="CT51" s="756" t="str">
        <f t="shared" ca="1" si="51"/>
        <v>-</v>
      </c>
      <c r="CU51" s="756">
        <f ca="1">CR51+COUNTIFS($CS$6:$CS$53,CS51,$CT$6:CT$53,"&gt;"&amp;CT51,$BC$6:$BC$53,INDEX(T_Equipos[Grupo],MATCH(BD51,T_Equipos[NombreEquipo],0)))</f>
        <v>2</v>
      </c>
      <c r="CV51" s="755" t="str">
        <f ca="1">IF(COUNTIFS($CU$6:$CU$53,CU51,$BC$6:$BC$53,INDEX(T_Equipos[Grupo],MATCH(BD51,T_Equipos[NombreEquipo],0)))=1,"-","P."&amp;CU51&amp;" ("&amp;COUNTIFS($CU$6:$CU$53,CU51,$BC$6:$BC$53,INDEX(T_Equipos[Grupo],MATCH(BD51,T_Equipos[NombreEquipo],0)))&amp;")")</f>
        <v>-</v>
      </c>
      <c r="CW51" s="755" t="str">
        <f t="shared" ca="1" si="30"/>
        <v>-</v>
      </c>
      <c r="CX51" s="755">
        <f ca="1">CU51+COUNTIFS($CV$6:$CV$53,CV51,$CW$6:CW$53,"&gt;"&amp;CW51,$BC$6:$BC$53,INDEX(T_Equipos[Grupo],MATCH(BD51,T_Equipos[NombreEquipo],0)))</f>
        <v>2</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2</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2</v>
      </c>
      <c r="DE51" s="754"/>
      <c r="DF51" s="754">
        <f t="shared" ca="1" si="52"/>
        <v>2</v>
      </c>
      <c r="DG51" s="754" t="str">
        <f ca="1">IF(DB51="-","-",COUNTIFS(DF$6:DF$53,"&lt;"&amp;DF51,$BC$6:$BC$53,INDEX(T_Equipos[Grupo],MATCH(BD51,T_Equipos[NombreEquipo],0))))</f>
        <v>-</v>
      </c>
      <c r="DH51" s="754">
        <f ca="1">DA51+COUNTIFS(DB$6:DB$53,DB51,DG$6:DG$53,"&lt;"&amp;DG51,$BC$6:$BC$53,INDEX(T_Equipos[Grupo],MATCH(BD51,T_Equipos[NombreEquipo],0)))</f>
        <v>2</v>
      </c>
      <c r="DI51" s="742"/>
      <c r="DJ51" s="742">
        <f t="shared" ca="1" si="53"/>
        <v>2</v>
      </c>
      <c r="DK51" s="742">
        <f t="shared" ca="1" si="24"/>
        <v>12</v>
      </c>
      <c r="DL51" s="742">
        <f t="shared" ca="1" si="33"/>
        <v>1</v>
      </c>
      <c r="DM51" s="736" t="str">
        <f t="shared" ca="1" si="34"/>
        <v>2.1</v>
      </c>
      <c r="DN51" s="742" cm="1">
        <f t="array" aca="1" ref="DN51" ca="1">OFFSET(Horarios!$P$3,DJ51-1,0,DL51,1)</f>
        <v>2</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(2)</v>
      </c>
      <c r="F52" s="742" t="str">
        <f t="shared" ref="F52:F57" ca="1" si="157">IF(D52="Pendiente","-",INDEX($BT$6:$BT$53,MATCH($AF52,$BD$6:$BD$53,0)))</f>
        <v>P.1 (2)</v>
      </c>
      <c r="G52" s="742"/>
      <c r="H52" s="742" t="str">
        <f t="shared" ref="H52:H57" ca="1" si="158">IF(D52="Pendiente","-",INDEX($BZ$6:$BZ$53,MATCH($AA52,$BD$6:$BD$53,0)))</f>
        <v>P.1 (2)</v>
      </c>
      <c r="I52" s="742" t="str">
        <f t="shared" ref="I52:I57" ca="1" si="159">IF(D52="Pendiente","-",INDEX($BZ$6:$BZ$53,MATCH($AF52,$BD$6:$BD$53,0)))</f>
        <v>P.1 (2)</v>
      </c>
      <c r="J52" s="742"/>
      <c r="K52" s="742" t="str">
        <f t="shared" ref="K52:K57" ca="1" si="160">IF(D52="Pendiente","-",INDEX($CE$6:$CE$53,MATCH($AA52,$BD$6:$BD$53,0)))</f>
        <v>P.1 (2)</v>
      </c>
      <c r="L52" s="742" t="str">
        <f t="shared" ref="L52:L57" ca="1" si="161">IF(D52="Pendiente","-",INDEX($CE$6:$CE$53,MATCH($AF52,$BD$6:$BD$53,0)))</f>
        <v>P.1 (2)</v>
      </c>
      <c r="M52" s="742"/>
      <c r="N52" s="742" t="str">
        <f t="shared" ref="N52:N57" ca="1" si="162">IF(D52="Pendiente","-",INDEX($CH$6:$CH$53,MATCH($AA52,$BD$6:$BD$53,0)))</f>
        <v>P.1 (2)</v>
      </c>
      <c r="O52" s="742" t="str">
        <f t="shared" ref="O52:O57" ca="1" si="163">IF(D52="Pendiente","-",INDEX($CH$6:$CH$53,MATCH($AF52,$BD$6:$BD$53,0)))</f>
        <v>P.1 (2)</v>
      </c>
      <c r="P52" s="742"/>
      <c r="Q52" s="742" t="str">
        <f t="shared" ref="Q52:Q57" ca="1" si="164">IF(D52="Pendiente","-",INDEX($CN$6:$CN$53,MATCH($AA52,$BD$6:$BD$53,0)))</f>
        <v>P.1 (2)</v>
      </c>
      <c r="R52" s="742" t="str">
        <f t="shared" ref="R52:R57" ca="1" si="165">IF(D52="Pendiente","-",INDEX($CN$6:$CN$53,MATCH($AF52,$BD$6:$BD$53,0)))</f>
        <v>P.1 (2)</v>
      </c>
      <c r="S52" s="742"/>
      <c r="T52" s="742" t="str">
        <f t="shared" ref="T52:T57" ca="1" si="166">IF(D52="Pendiente","-",INDEX($CS$6:$CS$53,MATCH($AA52,$BD$6:$BD$53,0)))</f>
        <v>P.1 (2)</v>
      </c>
      <c r="U52" s="742" t="str">
        <f t="shared" ref="U52:U57" ca="1" si="167">IF(D52="Pendiente","-",INDEX($CS$6:$CS$53,MATCH($AF52,$BD$6:$BD$53,0)))</f>
        <v>P.1 (2)</v>
      </c>
      <c r="V52" s="172"/>
      <c r="W52" s="84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4</v>
      </c>
      <c r="BF52" s="746">
        <f t="shared" ca="1" si="26"/>
        <v>3</v>
      </c>
      <c r="BG52" s="746">
        <f t="shared" ca="1" si="17"/>
        <v>1</v>
      </c>
      <c r="BH52" s="746">
        <f t="shared" ca="1" si="18"/>
        <v>1</v>
      </c>
      <c r="BI52" s="746">
        <f t="shared" ca="1" si="19"/>
        <v>1</v>
      </c>
      <c r="BJ52" s="746">
        <f t="shared" ca="1" si="20"/>
        <v>2</v>
      </c>
      <c r="BK52" s="746">
        <f t="shared" ca="1" si="21"/>
        <v>2</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4</v>
      </c>
      <c r="BS52" s="755">
        <f ca="1">BP52+COUNTIFS($BQ$6:$BQ$53,BQ52,$BR$6:BR$53,"&gt;"&amp;BR52,$BC$6:$BC$53,INDEX(T_Equipos[Grupo],MATCH(BD52,T_Equipos[NombreEquipo],0)))</f>
        <v>3</v>
      </c>
      <c r="BT52" s="755" t="str">
        <f ca="1">IF(COUNTIFS($BS$6:$BS$53,BS52,$BC$6:$BC$53,INDEX(T_Equipos[Grupo],MATCH(BD52,T_Equipos[NombreEquipo],0)))=1,"-","P."&amp;BS52&amp;" ("&amp;COUNTIFS($BS$6:$BS$53,BS52,$BC$6:$BC$53,INDEX(T_Equipos[Grupo],MATCH(BD52,T_Equipos[NombreEquipo],0)))&amp;")")</f>
        <v>-</v>
      </c>
      <c r="BU52" s="756" t="str">
        <f t="shared" ca="1" si="36"/>
        <v>-</v>
      </c>
      <c r="BV52" s="756" t="str">
        <f t="shared" ca="1" si="37"/>
        <v>-</v>
      </c>
      <c r="BW52" s="756" t="str">
        <f t="shared" ca="1" si="38"/>
        <v>-</v>
      </c>
      <c r="BX52" s="756" t="str">
        <f t="shared" ca="1" si="39"/>
        <v>-</v>
      </c>
      <c r="BY52" s="756">
        <f ca="1">BS52+COUNTIFS($BT$6:$BT$53,BT52,$BX$6:BX$53,"&gt;"&amp;BX52,$BC$6:$BC$53,INDEX(T_Equipos[Grupo],MATCH(BD52,T_Equipos[NombreEquipo],0)))</f>
        <v>3</v>
      </c>
      <c r="BZ52" s="755" t="str">
        <f ca="1">IF(COUNTIFS($BY$6:$BY$53,BY52,$BC$6:$BC$53,INDEX(T_Equipos[Grupo],MATCH(BD52,T_Equipos[NombreEquipo],0)))=1,"-","P."&amp;BY52&amp;" ("&amp;COUNTIFS($BY$6:$BY$53,BY52,$BC$6:$BC$53,INDEX(T_Equipos[Grupo],MATCH(BD52,T_Equipos[NombreEquipo],0)))&amp;")")</f>
        <v>-</v>
      </c>
      <c r="CA52" s="756" t="str">
        <f t="shared" ca="1" si="40"/>
        <v>-</v>
      </c>
      <c r="CB52" s="756" t="str">
        <f t="shared" ca="1" si="41"/>
        <v>-</v>
      </c>
      <c r="CC52" s="756" t="str">
        <f t="shared" ca="1" si="42"/>
        <v>-</v>
      </c>
      <c r="CD52" s="756">
        <f ca="1">BY52+COUNTIFS($BZ$6:$BZ$53,BZ52,$CC$6:CC$53,"&gt;"&amp;CC52,$BC$6:$BC$53,INDEX(T_Equipos[Grupo],MATCH(BD52,T_Equipos[NombreEquipo],0)))</f>
        <v>3</v>
      </c>
      <c r="CE52" s="755" t="str">
        <f ca="1">IF(COUNTIFS($CD$6:$CD$53,CD52,$BC$6:$BC$53,INDEX(T_Equipos[Grupo],MATCH(BD52,T_Equipos[NombreEquipo],0)))=1,"-","P."&amp;CD52&amp;" ("&amp;COUNTIFS($CD$6:$CD$53,CD52,$BC$6:$BC$53,INDEX(T_Equipos[Grupo],MATCH(BD52,T_Equipos[NombreEquipo],0)))&amp;")")</f>
        <v>-</v>
      </c>
      <c r="CF52" s="756" t="str">
        <f t="shared" ca="1" si="43"/>
        <v>-</v>
      </c>
      <c r="CG52" s="756">
        <f ca="1">CD52+COUNTIFS($CE$6:$CE$53,CE52,$CF$6:CF$53,"&gt;"&amp;CF52,$BC$6:$BC$53,INDEX(T_Equipos[Grupo],MATCH(BD52,T_Equipos[NombreEquipo],0)))</f>
        <v>3</v>
      </c>
      <c r="CH52" s="755" t="str">
        <f ca="1">IF(COUNTIFS($CG$6:$CG$53,CG52,$BC$6:$BC$53,INDEX(T_Equipos[Grupo],MATCH(BD52,T_Equipos[NombreEquipo],0)))=1,"-","P."&amp;CG52&amp;" ("&amp;COUNTIFS($CG$6:$CG$53,CG52,$BC$6:$BC$53,INDEX(T_Equipos[Grupo],MATCH(BD52,T_Equipos[NombreEquipo],0)))&amp;")")</f>
        <v>-</v>
      </c>
      <c r="CI52" s="756" t="str">
        <f t="shared" ca="1" si="44"/>
        <v>-</v>
      </c>
      <c r="CJ52" s="756" t="str">
        <f t="shared" ca="1" si="45"/>
        <v>-</v>
      </c>
      <c r="CK52" s="756" t="str">
        <f t="shared" ca="1" si="46"/>
        <v>-</v>
      </c>
      <c r="CL52" s="756" t="str">
        <f t="shared" ca="1" si="47"/>
        <v>-</v>
      </c>
      <c r="CM52" s="756">
        <f ca="1">CG52+COUNTIFS($CH$6:$CH$53,CH52,$CL$6:CL$53,"&gt;"&amp;CL52,$BC$6:$BC$53,INDEX(T_Equipos[Grupo],MATCH(BD52,T_Equipos[NombreEquipo],0)))</f>
        <v>3</v>
      </c>
      <c r="CN52" s="755" t="str">
        <f ca="1">IF(COUNTIFS($CM$6:$CM$53,CM52,$BC$6:$BC$53,INDEX(T_Equipos[Grupo],MATCH(BD52,T_Equipos[NombreEquipo],0)))=1,"-","P."&amp;CM52&amp;" ("&amp;COUNTIFS($CM$6:$CM$53,CM52,$BC$6:$BC$53,INDEX(T_Equipos[Grupo],MATCH(BD52,T_Equipos[NombreEquipo],0)))&amp;")")</f>
        <v>-</v>
      </c>
      <c r="CO52" s="756" t="str">
        <f t="shared" ca="1" si="48"/>
        <v>-</v>
      </c>
      <c r="CP52" s="756" t="str">
        <f t="shared" ca="1" si="49"/>
        <v>-</v>
      </c>
      <c r="CQ52" s="756" t="str">
        <f t="shared" ca="1" si="50"/>
        <v>-</v>
      </c>
      <c r="CR52" s="756">
        <f ca="1">CM52+COUNTIFS($CN$6:$CN$53,CN52,$CQ$6:CQ$53,"&gt;"&amp;CQ52,$BC$6:$BC$53,INDEX(T_Equipos[Grupo],MATCH(BD52,T_Equipos[NombreEquipo],0)))</f>
        <v>3</v>
      </c>
      <c r="CS52" s="755" t="str">
        <f ca="1">IF(COUNTIFS($CR$6:$CR$53,CR52,$BC$6:$BC$53,INDEX(T_Equipos[Grupo],MATCH(BD52,T_Equipos[NombreEquipo],0)))=1,"-","P."&amp;CR52&amp;" ("&amp;COUNTIFS($CR$6:$CR$53,CR52,$BC$6:$BC$53,INDEX(T_Equipos[Grupo],MATCH(BD52,T_Equipos[NombreEquipo],0)))&amp;")")</f>
        <v>-</v>
      </c>
      <c r="CT52" s="756" t="str">
        <f t="shared" ca="1" si="51"/>
        <v>-</v>
      </c>
      <c r="CU52" s="756">
        <f ca="1">CR52+COUNTIFS($CS$6:$CS$53,CS52,$CT$6:CT$53,"&gt;"&amp;CT52,$BC$6:$BC$53,INDEX(T_Equipos[Grupo],MATCH(BD52,T_Equipos[NombreEquipo],0)))</f>
        <v>3</v>
      </c>
      <c r="CV52" s="755" t="str">
        <f ca="1">IF(COUNTIFS($CU$6:$CU$53,CU52,$BC$6:$BC$53,INDEX(T_Equipos[Grupo],MATCH(BD52,T_Equipos[NombreEquipo],0)))=1,"-","P."&amp;CU52&amp;" ("&amp;COUNTIFS($CU$6:$CU$53,CU52,$BC$6:$BC$53,INDEX(T_Equipos[Grupo],MATCH(BD52,T_Equipos[NombreEquipo],0)))&amp;")")</f>
        <v>-</v>
      </c>
      <c r="CW52" s="755" t="str">
        <f t="shared" ca="1" si="30"/>
        <v>-</v>
      </c>
      <c r="CX52" s="755">
        <f ca="1">CU52+COUNTIFS($CV$6:$CV$53,CV52,$CW$6:CW$53,"&gt;"&amp;CW52,$BC$6:$BC$53,INDEX(T_Equipos[Grupo],MATCH(BD52,T_Equipos[NombreEquipo],0)))</f>
        <v>3</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3</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3</v>
      </c>
      <c r="DE52" s="754"/>
      <c r="DF52" s="754">
        <f t="shared" ca="1" si="52"/>
        <v>3</v>
      </c>
      <c r="DG52" s="754" t="str">
        <f ca="1">IF(DB52="-","-",COUNTIFS(DF$6:DF$53,"&lt;"&amp;DF52,$BC$6:$BC$53,INDEX(T_Equipos[Grupo],MATCH(BD52,T_Equipos[NombreEquipo],0))))</f>
        <v>-</v>
      </c>
      <c r="DH52" s="754">
        <f ca="1">DA52+COUNTIFS(DB$6:DB$53,DB52,DG$6:DG$53,"&lt;"&amp;DG52,$BC$6:$BC$53,INDEX(T_Equipos[Grupo],MATCH(BD52,T_Equipos[NombreEquipo],0)))</f>
        <v>3</v>
      </c>
      <c r="DI52" s="742"/>
      <c r="DJ52" s="742">
        <f t="shared" ca="1" si="53"/>
        <v>3</v>
      </c>
      <c r="DK52" s="742">
        <f t="shared" ca="1" si="24"/>
        <v>12</v>
      </c>
      <c r="DL52" s="742">
        <f t="shared" ca="1" si="33"/>
        <v>1</v>
      </c>
      <c r="DM52" s="736" t="str">
        <f t="shared" ca="1" si="34"/>
        <v>3.1</v>
      </c>
      <c r="DN52" s="742" cm="1">
        <f t="array" aca="1" ref="DN52" ca="1">OFFSET(Horarios!$P$3,DJ52-1,0,DL52,1)</f>
        <v>3</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v>
      </c>
      <c r="F53" s="742" t="str">
        <f t="shared" ca="1" si="157"/>
        <v>-</v>
      </c>
      <c r="G53" s="742"/>
      <c r="H53" s="742" t="str">
        <f t="shared" ca="1" si="158"/>
        <v>-</v>
      </c>
      <c r="I53" s="742" t="str">
        <f t="shared" ca="1" si="159"/>
        <v>-</v>
      </c>
      <c r="J53" s="742"/>
      <c r="K53" s="742" t="str">
        <f t="shared" ca="1" si="160"/>
        <v>-</v>
      </c>
      <c r="L53" s="742" t="str">
        <f t="shared" ca="1" si="161"/>
        <v>-</v>
      </c>
      <c r="M53" s="742"/>
      <c r="N53" s="742" t="str">
        <f t="shared" ca="1" si="162"/>
        <v>-</v>
      </c>
      <c r="O53" s="742" t="str">
        <f t="shared" ca="1" si="163"/>
        <v>-</v>
      </c>
      <c r="P53" s="742"/>
      <c r="Q53" s="742" t="str">
        <f t="shared" ca="1" si="164"/>
        <v>-</v>
      </c>
      <c r="R53" s="742" t="str">
        <f t="shared" ca="1" si="165"/>
        <v>-</v>
      </c>
      <c r="S53" s="742"/>
      <c r="T53" s="742" t="str">
        <f t="shared" ca="1" si="166"/>
        <v>-</v>
      </c>
      <c r="U53" s="742" t="str">
        <f t="shared" ca="1" si="167"/>
        <v>-</v>
      </c>
      <c r="V53" s="172"/>
      <c r="W53" s="84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3</v>
      </c>
      <c r="BG53" s="746">
        <f t="shared" ca="1" si="17"/>
        <v>0</v>
      </c>
      <c r="BH53" s="746">
        <f t="shared" ca="1" si="18"/>
        <v>0</v>
      </c>
      <c r="BI53" s="746">
        <f t="shared" ca="1" si="19"/>
        <v>3</v>
      </c>
      <c r="BJ53" s="746">
        <f t="shared" ca="1" si="20"/>
        <v>0</v>
      </c>
      <c r="BK53" s="746">
        <f t="shared" ca="1" si="21"/>
        <v>4</v>
      </c>
      <c r="BL53" s="746">
        <f t="shared" ca="1" si="27"/>
        <v>-4</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4</v>
      </c>
      <c r="BT53" s="755" t="str">
        <f ca="1">IF(COUNTIFS($BS$6:$BS$53,BS53,$BC$6:$BC$53,INDEX(T_Equipos[Grupo],MATCH(BD53,T_Equipos[NombreEquipo],0)))=1,"-","P."&amp;BS53&amp;" ("&amp;COUNTIFS($BS$6:$BS$53,BS53,$BC$6:$BC$53,INDEX(T_Equipos[Grupo],MATCH(BD53,T_Equipos[NombreEquipo],0)))&amp;")")</f>
        <v>-</v>
      </c>
      <c r="BU53" s="756" t="str">
        <f t="shared" ca="1" si="36"/>
        <v>-</v>
      </c>
      <c r="BV53" s="756" t="str">
        <f t="shared" ca="1" si="37"/>
        <v>-</v>
      </c>
      <c r="BW53" s="756" t="str">
        <f t="shared" ca="1" si="38"/>
        <v>-</v>
      </c>
      <c r="BX53" s="756" t="str">
        <f t="shared" ca="1" si="39"/>
        <v>-</v>
      </c>
      <c r="BY53" s="756">
        <f ca="1">BS53+COUNTIFS($BT$6:$BT$53,BT53,$BX$6:BX$53,"&gt;"&amp;BX53,$BC$6:$BC$53,INDEX(T_Equipos[Grupo],MATCH(BD53,T_Equipos[NombreEquipo],0)))</f>
        <v>4</v>
      </c>
      <c r="BZ53" s="755" t="str">
        <f ca="1">IF(COUNTIFS($BY$6:$BY$53,BY53,$BC$6:$BC$53,INDEX(T_Equipos[Grupo],MATCH(BD53,T_Equipos[NombreEquipo],0)))=1,"-","P."&amp;BY53&amp;" ("&amp;COUNTIFS($BY$6:$BY$53,BY53,$BC$6:$BC$53,INDEX(T_Equipos[Grupo],MATCH(BD53,T_Equipos[NombreEquipo],0)))&amp;")")</f>
        <v>-</v>
      </c>
      <c r="CA53" s="756" t="str">
        <f t="shared" ca="1" si="40"/>
        <v>-</v>
      </c>
      <c r="CB53" s="756" t="str">
        <f t="shared" ca="1" si="41"/>
        <v>-</v>
      </c>
      <c r="CC53" s="756" t="str">
        <f t="shared" ca="1" si="42"/>
        <v>-</v>
      </c>
      <c r="CD53" s="756">
        <f ca="1">BY53+COUNTIFS($BZ$6:$BZ$53,BZ53,$CC$6:CC$53,"&gt;"&amp;CC53,$BC$6:$BC$53,INDEX(T_Equipos[Grupo],MATCH(BD53,T_Equipos[NombreEquipo],0)))</f>
        <v>4</v>
      </c>
      <c r="CE53" s="755" t="str">
        <f ca="1">IF(COUNTIFS($CD$6:$CD$53,CD53,$BC$6:$BC$53,INDEX(T_Equipos[Grupo],MATCH(BD53,T_Equipos[NombreEquipo],0)))=1,"-","P."&amp;CD53&amp;" ("&amp;COUNTIFS($CD$6:$CD$53,CD53,$BC$6:$BC$53,INDEX(T_Equipos[Grupo],MATCH(BD53,T_Equipos[NombreEquipo],0)))&amp;")")</f>
        <v>-</v>
      </c>
      <c r="CF53" s="756" t="str">
        <f t="shared" ca="1" si="43"/>
        <v>-</v>
      </c>
      <c r="CG53" s="756">
        <f ca="1">CD53+COUNTIFS($CE$6:$CE$53,CE53,$CF$6:CF$53,"&gt;"&amp;CF53,$BC$6:$BC$53,INDEX(T_Equipos[Grupo],MATCH(BD53,T_Equipos[NombreEquipo],0)))</f>
        <v>4</v>
      </c>
      <c r="CH53" s="755" t="str">
        <f ca="1">IF(COUNTIFS($CG$6:$CG$53,CG53,$BC$6:$BC$53,INDEX(T_Equipos[Grupo],MATCH(BD53,T_Equipos[NombreEquipo],0)))=1,"-","P."&amp;CG53&amp;" ("&amp;COUNTIFS($CG$6:$CG$53,CG53,$BC$6:$BC$53,INDEX(T_Equipos[Grupo],MATCH(BD53,T_Equipos[NombreEquipo],0)))&amp;")")</f>
        <v>-</v>
      </c>
      <c r="CI53" s="756" t="str">
        <f t="shared" ca="1" si="44"/>
        <v>-</v>
      </c>
      <c r="CJ53" s="756" t="str">
        <f t="shared" ca="1" si="45"/>
        <v>-</v>
      </c>
      <c r="CK53" s="756" t="str">
        <f t="shared" ca="1" si="46"/>
        <v>-</v>
      </c>
      <c r="CL53" s="756" t="str">
        <f t="shared" ca="1" si="47"/>
        <v>-</v>
      </c>
      <c r="CM53" s="756">
        <f ca="1">CG53+COUNTIFS($CH$6:$CH$53,CH53,$CL$6:CL$53,"&gt;"&amp;CL53,$BC$6:$BC$53,INDEX(T_Equipos[Grupo],MATCH(BD53,T_Equipos[NombreEquipo],0)))</f>
        <v>4</v>
      </c>
      <c r="CN53" s="755" t="str">
        <f ca="1">IF(COUNTIFS($CM$6:$CM$53,CM53,$BC$6:$BC$53,INDEX(T_Equipos[Grupo],MATCH(BD53,T_Equipos[NombreEquipo],0)))=1,"-","P."&amp;CM53&amp;" ("&amp;COUNTIFS($CM$6:$CM$53,CM53,$BC$6:$BC$53,INDEX(T_Equipos[Grupo],MATCH(BD53,T_Equipos[NombreEquipo],0)))&amp;")")</f>
        <v>-</v>
      </c>
      <c r="CO53" s="756" t="str">
        <f t="shared" ca="1" si="48"/>
        <v>-</v>
      </c>
      <c r="CP53" s="756" t="str">
        <f t="shared" ca="1" si="49"/>
        <v>-</v>
      </c>
      <c r="CQ53" s="756" t="str">
        <f t="shared" ca="1" si="50"/>
        <v>-</v>
      </c>
      <c r="CR53" s="756">
        <f ca="1">CM53+COUNTIFS($CN$6:$CN$53,CN53,$CQ$6:CQ$53,"&gt;"&amp;CQ53,$BC$6:$BC$53,INDEX(T_Equipos[Grupo],MATCH(BD53,T_Equipos[NombreEquipo],0)))</f>
        <v>4</v>
      </c>
      <c r="CS53" s="755" t="str">
        <f ca="1">IF(COUNTIFS($CR$6:$CR$53,CR53,$BC$6:$BC$53,INDEX(T_Equipos[Grupo],MATCH(BD53,T_Equipos[NombreEquipo],0)))=1,"-","P."&amp;CR53&amp;" ("&amp;COUNTIFS($CR$6:$CR$53,CR53,$BC$6:$BC$53,INDEX(T_Equipos[Grupo],MATCH(BD53,T_Equipos[NombreEquipo],0)))&amp;")")</f>
        <v>-</v>
      </c>
      <c r="CT53" s="756" t="str">
        <f t="shared" ca="1" si="51"/>
        <v>-</v>
      </c>
      <c r="CU53" s="756">
        <f ca="1">CR53+COUNTIFS($CS$6:$CS$53,CS53,$CT$6:CT$53,"&gt;"&amp;CT53,$BC$6:$BC$53,INDEX(T_Equipos[Grupo],MATCH(BD53,T_Equipos[NombreEquipo],0)))</f>
        <v>4</v>
      </c>
      <c r="CV53" s="755" t="str">
        <f ca="1">IF(COUNTIFS($CU$6:$CU$53,CU53,$BC$6:$BC$53,INDEX(T_Equipos[Grupo],MATCH(BD53,T_Equipos[NombreEquipo],0)))=1,"-","P."&amp;CU53&amp;" ("&amp;COUNTIFS($CU$6:$CU$53,CU53,$BC$6:$BC$53,INDEX(T_Equipos[Grupo],MATCH(BD53,T_Equipos[NombreEquipo],0)))&amp;")")</f>
        <v>-</v>
      </c>
      <c r="CW53" s="755" t="str">
        <f t="shared" ca="1" si="30"/>
        <v>-</v>
      </c>
      <c r="CX53" s="755">
        <f ca="1">CU53+COUNTIFS($CV$6:$CV$53,CV53,$CW$6:CW$53,"&gt;"&amp;CW53,$BC$6:$BC$53,INDEX(T_Equipos[Grupo],MATCH(BD53,T_Equipos[NombreEquipo],0)))</f>
        <v>4</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4</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4</v>
      </c>
      <c r="DE53" s="754"/>
      <c r="DF53" s="754">
        <f t="shared" ca="1" si="52"/>
        <v>4</v>
      </c>
      <c r="DG53" s="754" t="str">
        <f ca="1">IF(DB53="-","-",COUNTIFS(DF$6:DF$53,"&lt;"&amp;DF53,$BC$6:$BC$53,INDEX(T_Equipos[Grupo],MATCH(BD53,T_Equipos[NombreEquipo],0))))</f>
        <v>-</v>
      </c>
      <c r="DH53" s="754">
        <f ca="1">DA53+COUNTIFS(DB$6:DB$53,DB53,DG$6:DG$53,"&lt;"&amp;DG53,$BC$6:$BC$53,INDEX(T_Equipos[Grupo],MATCH(BD53,T_Equipos[NombreEquipo],0)))</f>
        <v>4</v>
      </c>
      <c r="DI53" s="742"/>
      <c r="DJ53" s="742">
        <f t="shared" ca="1" si="53"/>
        <v>4</v>
      </c>
      <c r="DK53" s="742">
        <f t="shared" ca="1" si="24"/>
        <v>12</v>
      </c>
      <c r="DL53" s="742">
        <f t="shared" ca="1" si="33"/>
        <v>1</v>
      </c>
      <c r="DM53" s="736" t="str">
        <f t="shared" ca="1" si="34"/>
        <v>4.1</v>
      </c>
      <c r="DN53" s="742" cm="1">
        <f t="array" aca="1" ref="DN53" ca="1">OFFSET(Horarios!$P$3,DJ53-1,0,DL53,1)</f>
        <v>4</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Empate</v>
      </c>
      <c r="E54" s="742" t="str">
        <f t="shared" ca="1" si="156"/>
        <v>P.1 (2)</v>
      </c>
      <c r="F54" s="742" t="str">
        <f t="shared" ca="1" si="157"/>
        <v>-</v>
      </c>
      <c r="G54" s="742"/>
      <c r="H54" s="742" t="str">
        <f t="shared" ca="1" si="158"/>
        <v>P.1 (2)</v>
      </c>
      <c r="I54" s="742" t="str">
        <f t="shared" ca="1" si="159"/>
        <v>-</v>
      </c>
      <c r="J54" s="742"/>
      <c r="K54" s="742" t="str">
        <f t="shared" ca="1" si="160"/>
        <v>P.1 (2)</v>
      </c>
      <c r="L54" s="742" t="str">
        <f t="shared" ca="1" si="161"/>
        <v>-</v>
      </c>
      <c r="M54" s="742"/>
      <c r="N54" s="742" t="str">
        <f t="shared" ca="1" si="162"/>
        <v>P.1 (2)</v>
      </c>
      <c r="O54" s="742" t="str">
        <f t="shared" ca="1" si="163"/>
        <v>-</v>
      </c>
      <c r="P54" s="742"/>
      <c r="Q54" s="742" t="str">
        <f t="shared" ca="1" si="164"/>
        <v>P.1 (2)</v>
      </c>
      <c r="R54" s="742" t="str">
        <f t="shared" ca="1" si="165"/>
        <v>-</v>
      </c>
      <c r="S54" s="742"/>
      <c r="T54" s="742" t="str">
        <f t="shared" ca="1" si="166"/>
        <v>P.1 (2)</v>
      </c>
      <c r="U54" s="742" t="str">
        <f t="shared" ca="1" si="167"/>
        <v>-</v>
      </c>
      <c r="V54" s="172"/>
      <c r="W54" s="84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Visitante</v>
      </c>
      <c r="E55" s="742" t="str">
        <f t="shared" ca="1" si="156"/>
        <v>-</v>
      </c>
      <c r="F55" s="742" t="str">
        <f t="shared" ca="1" si="157"/>
        <v>P.1 (2)</v>
      </c>
      <c r="G55" s="742"/>
      <c r="H55" s="742" t="str">
        <f t="shared" ca="1" si="158"/>
        <v>-</v>
      </c>
      <c r="I55" s="742" t="str">
        <f t="shared" ca="1" si="159"/>
        <v>P.1 (2)</v>
      </c>
      <c r="J55" s="742"/>
      <c r="K55" s="742" t="str">
        <f t="shared" ca="1" si="160"/>
        <v>-</v>
      </c>
      <c r="L55" s="742" t="str">
        <f t="shared" ca="1" si="161"/>
        <v>P.1 (2)</v>
      </c>
      <c r="M55" s="742"/>
      <c r="N55" s="742" t="str">
        <f t="shared" ca="1" si="162"/>
        <v>-</v>
      </c>
      <c r="O55" s="742" t="str">
        <f t="shared" ca="1" si="163"/>
        <v>P.1 (2)</v>
      </c>
      <c r="P55" s="742"/>
      <c r="Q55" s="742" t="str">
        <f t="shared" ca="1" si="164"/>
        <v>-</v>
      </c>
      <c r="R55" s="742" t="str">
        <f t="shared" ca="1" si="165"/>
        <v>P.1 (2)</v>
      </c>
      <c r="S55" s="742"/>
      <c r="T55" s="742" t="str">
        <f t="shared" ca="1" si="166"/>
        <v>-</v>
      </c>
      <c r="U55" s="742" t="str">
        <f t="shared" ca="1" si="167"/>
        <v>P.1 (2)</v>
      </c>
      <c r="V55" s="172"/>
      <c r="W55" s="84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Empate</v>
      </c>
      <c r="E56" s="742" t="str">
        <f t="shared" ca="1" si="156"/>
        <v>P.1 (2)</v>
      </c>
      <c r="F56" s="742" t="str">
        <f t="shared" ca="1" si="157"/>
        <v>-</v>
      </c>
      <c r="G56" s="742"/>
      <c r="H56" s="742" t="str">
        <f t="shared" ca="1" si="158"/>
        <v>P.1 (2)</v>
      </c>
      <c r="I56" s="742" t="str">
        <f t="shared" ca="1" si="159"/>
        <v>-</v>
      </c>
      <c r="J56" s="742"/>
      <c r="K56" s="742" t="str">
        <f t="shared" ca="1" si="160"/>
        <v>P.1 (2)</v>
      </c>
      <c r="L56" s="742" t="str">
        <f t="shared" ca="1" si="161"/>
        <v>-</v>
      </c>
      <c r="M56" s="742"/>
      <c r="N56" s="742" t="str">
        <f t="shared" ca="1" si="162"/>
        <v>P.1 (2)</v>
      </c>
      <c r="O56" s="742" t="str">
        <f t="shared" ca="1" si="163"/>
        <v>-</v>
      </c>
      <c r="P56" s="742"/>
      <c r="Q56" s="742" t="str">
        <f t="shared" ca="1" si="164"/>
        <v>P.1 (2)</v>
      </c>
      <c r="R56" s="742" t="str">
        <f t="shared" ca="1" si="165"/>
        <v>-</v>
      </c>
      <c r="S56" s="742"/>
      <c r="T56" s="742" t="str">
        <f t="shared" ca="1" si="166"/>
        <v>P.1 (2)</v>
      </c>
      <c r="U56" s="742" t="str">
        <f t="shared" ca="1" si="167"/>
        <v>-</v>
      </c>
      <c r="V56" s="172"/>
      <c r="W56" s="84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 thickBot="1">
      <c r="A57" s="737"/>
      <c r="B57" s="740"/>
      <c r="C57" s="737"/>
      <c r="D57" s="742" t="str">
        <f t="shared" si="155"/>
        <v>Visitante</v>
      </c>
      <c r="E57" s="742" t="str">
        <f t="shared" ca="1" si="156"/>
        <v>-</v>
      </c>
      <c r="F57" s="742" t="str">
        <f t="shared" ca="1" si="157"/>
        <v>P.1 (2)</v>
      </c>
      <c r="G57" s="742"/>
      <c r="H57" s="742" t="str">
        <f t="shared" ca="1" si="158"/>
        <v>-</v>
      </c>
      <c r="I57" s="742" t="str">
        <f t="shared" ca="1" si="159"/>
        <v>P.1 (2)</v>
      </c>
      <c r="J57" s="742"/>
      <c r="K57" s="742" t="str">
        <f t="shared" ca="1" si="160"/>
        <v>-</v>
      </c>
      <c r="L57" s="742" t="str">
        <f t="shared" ca="1" si="161"/>
        <v>P.1 (2)</v>
      </c>
      <c r="M57" s="742"/>
      <c r="N57" s="742" t="str">
        <f t="shared" ca="1" si="162"/>
        <v>-</v>
      </c>
      <c r="O57" s="742" t="str">
        <f t="shared" ca="1" si="163"/>
        <v>P.1 (2)</v>
      </c>
      <c r="P57" s="742"/>
      <c r="Q57" s="742" t="str">
        <f t="shared" ca="1" si="164"/>
        <v>-</v>
      </c>
      <c r="R57" s="742" t="str">
        <f t="shared" ca="1" si="165"/>
        <v>P.1 (2)</v>
      </c>
      <c r="S57" s="742"/>
      <c r="T57" s="742" t="str">
        <f t="shared" ca="1" si="166"/>
        <v>-</v>
      </c>
      <c r="U57" s="742" t="str">
        <f t="shared" ca="1" si="167"/>
        <v>P.1 (2)</v>
      </c>
      <c r="V57" s="172"/>
      <c r="W57" s="84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3</v>
      </c>
      <c r="BF58" s="746">
        <f ca="1">+BG58+BH58+BI58</f>
        <v>3</v>
      </c>
      <c r="BG58" s="746">
        <f ca="1">CHOOSE(IF($BB$57=2, 2, 1),INDEX($BG$6:$BG$53,MATCH($BB58,$BN$6:$BN$53,0)),
  INDEX($BG$6:$BG$53,MATCH($BB58,$BN$6:$BN$53,0))-(COUNTIFS(FGLocal,$BD58,FGVisitante,INDEX($BD$6:$BD$53,MATCH(BO58,$BN$6:$BN$53,0)),Ganador,"Local")+COUNTIFS(FGVisitante,$BD58,FGLocal,INDEX($BD$6:$BD$53,MATCH(BO58,$BN$6:$BN$53,0)),Ganador,"Visitante"))
)</f>
        <v>1</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2</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10</v>
      </c>
      <c r="BN58" s="746">
        <f ca="1">CF58</f>
        <v>10</v>
      </c>
      <c r="BO58" s="736" t="str">
        <f>"4"&amp;BC58</f>
        <v>4A</v>
      </c>
      <c r="BP58" s="736"/>
      <c r="BQ58" s="736"/>
      <c r="BR58" s="746">
        <f t="shared" ref="BR58:BR69" ca="1" si="179">+BE58</f>
        <v>3</v>
      </c>
      <c r="BS58" s="746">
        <f ca="1">COUNTIFS(BR$58:BR$69,"&gt;"&amp;BR58)+1</f>
        <v>8</v>
      </c>
      <c r="BT58" s="746" t="str">
        <f ca="1">IF(COUNTIF(BS$58:BS$69,BS58)=1,"-","Pos. "&amp;BS58&amp;" ("&amp;COUNTIF(BS$58:BS$69,BS58)&amp;")")</f>
        <v>Pos. 8 (4)</v>
      </c>
      <c r="BU58" s="746">
        <f t="shared" ref="BU58:BU69" ca="1" si="180">IF(BT58="-","-",BL58)</f>
        <v>-1</v>
      </c>
      <c r="BV58" s="746">
        <f t="shared" ref="BV58:BV69" ca="1" si="181">BS58+COUNTIFS(BT$58:BT$69,BT58,BU$58:BU$69,"&gt;"&amp;BU58)</f>
        <v>10</v>
      </c>
      <c r="BW58" s="746" t="str">
        <f t="shared" ref="BW58:BW69" ca="1" si="182">IF(COUNTIF(BV$58:BV$69,BV58)=1,"-","Pos. "&amp;BV58&amp;" ("&amp;COUNTIF(BV$58:BV$69,BV58)&amp;")")</f>
        <v>-</v>
      </c>
      <c r="BX58" s="746" t="str">
        <f t="shared" ref="BX58:BX69" ca="1" si="183">IF(BW58="-","-",BJ58)</f>
        <v>-</v>
      </c>
      <c r="BY58" s="746">
        <f t="shared" ref="BY58:BY69" ca="1" si="184">BV58+COUNTIFS(BW$58:BW$69,BW58,BX$58:BX$69,"&gt;"&amp;BX58)</f>
        <v>10</v>
      </c>
      <c r="BZ58" s="746" t="str">
        <f t="shared" ref="BZ58:BZ69" ca="1" si="185">IF(COUNTIF(BY$58:BY$69,BY58)=1,"-","Pos. "&amp;BY58&amp;" ("&amp;COUNTIF(BY$58:BY$69,BY58)&amp;")")</f>
        <v>-</v>
      </c>
      <c r="CA58" s="746" t="str">
        <f ca="1">IF(BZ58="-","-",COUNTIF($BD$58:$BD$69,"&gt;"&amp;BD58))</f>
        <v>-</v>
      </c>
      <c r="CB58" s="746">
        <f ca="1">BY58+COUNTIFS(BZ$58:BZ$69,BZ58,CA$58:CA$69,"&gt;"&amp;CA58)</f>
        <v>10</v>
      </c>
      <c r="CC58" s="746"/>
      <c r="CD58" s="746">
        <f ca="1">IF(OR(INDEX($AW$102:$AW$113,MATCH($BD58,$AV$102:$AV$113,0))="",BZ58="-"),CB58,INDEX($AW$102:$AW$113,MATCH($BD58,$AV$102:$AV$113,0))+CB58/1000)</f>
        <v>10</v>
      </c>
      <c r="CE58" s="746" t="str">
        <f ca="1">IF(BZ58="-","-",COUNTIF(CD$58:CD$69,"&lt;"&amp;CD58))</f>
        <v>-</v>
      </c>
      <c r="CF58" s="746">
        <f ca="1">BY58+COUNTIFS(BZ$58:BZ$69,BZ58,CE$58:CE$69,"&lt;"&amp;CE58)</f>
        <v>10</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RD Congo</v>
      </c>
      <c r="DR58" s="742"/>
      <c r="DS58" s="742"/>
      <c r="DT58" s="742" t="str">
        <f t="shared" si="15"/>
        <v>-</v>
      </c>
      <c r="DU58" s="742"/>
      <c r="DV58" s="742"/>
      <c r="DW58" s="8"/>
    </row>
    <row r="59" spans="1:127" ht="1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Bosnia y Herzegovina</v>
      </c>
      <c r="BE59" s="746">
        <f t="shared" ref="BE59:BE69" ca="1" si="189">CHOOSE($BB$57,
  (BG59*3 + BH59)+IF($AZ$3="No",0,INDEX($AZ$6:$AZ$97,MATCH(BD59,$AY$6:$AY$97,0))),
  (BG59*3 + BH59)+IF($AZ$3="No",0,INDEX($AZ$6:$AZ$97,MATCH(BD59,$AY$6:$AY$97,0))),
  IFERROR((BG59*3 + BH59+IF($AZ$3="No",0,INDEX($AZ$6:$AZ$97,MATCH(BD59,$AY$6:$AY$97,0)))) / BF59, 0)
)</f>
        <v>4</v>
      </c>
      <c r="BF59" s="746">
        <f t="shared" ref="BF59:BF69" ca="1" si="190">+BG59+BH59+BI59</f>
        <v>3</v>
      </c>
      <c r="BG59" s="746">
        <f t="shared" ref="BG59:BG69" ca="1" si="191">CHOOSE(IF($BB$57=2, 2, 1),
  INDEX($BG$6:$BG$53,MATCH($BB59,$BN$6:$BN$53,0)),
  INDEX($BG$6:$BG$53,MATCH($BB59,$BN$6:$BN$53,0))-(COUNTIFS(FGLocal,$BD59,FGVisitante,INDEX($BD$6:$BD$53,MATCH(BO59,$BN$6:$BN$53,0)),Ganador,"Local")+COUNTIFS(FGVisitante,$BD59,FGLocal,INDEX($BD$6:$BD$53,MATCH(BO59,$BN$6:$BN$53,0)),Ganador,"Visitante"))
)</f>
        <v>1</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1</v>
      </c>
      <c r="BJ59" s="746">
        <f t="shared" ca="1" si="177"/>
        <v>5</v>
      </c>
      <c r="BK59" s="746">
        <f t="shared" ca="1" si="178"/>
        <v>6</v>
      </c>
      <c r="BL59" s="746">
        <f t="shared" ref="BL59:BL69" ca="1" si="193">BJ59-BK59</f>
        <v>-1</v>
      </c>
      <c r="BM59" s="746">
        <f t="shared" ref="BM59:BM69" ca="1" si="194">CB59</f>
        <v>5</v>
      </c>
      <c r="BN59" s="746">
        <f t="shared" ref="BN59:BN69" ca="1" si="195">CF59</f>
        <v>5</v>
      </c>
      <c r="BO59" s="736" t="str">
        <f t="shared" ref="BO59:BO69" si="196">"4"&amp;BC59</f>
        <v>4B</v>
      </c>
      <c r="BP59" s="736"/>
      <c r="BQ59" s="736"/>
      <c r="BR59" s="746">
        <f t="shared" ca="1" si="179"/>
        <v>4</v>
      </c>
      <c r="BS59" s="746">
        <f t="shared" ref="BS59:BS69" ca="1" si="197">COUNTIFS(BR$58:BR$69,"&gt;"&amp;BR59)+1</f>
        <v>1</v>
      </c>
      <c r="BT59" s="746" t="str">
        <f t="shared" ref="BT59:BT69" ca="1" si="198">IF(COUNTIF(BS$58:BS$69,BS59)=1,"-","Pos. "&amp;BS59&amp;" ("&amp;COUNTIF(BS$58:BS$69,BS59)&amp;")")</f>
        <v>Pos. 1 (7)</v>
      </c>
      <c r="BU59" s="746">
        <f t="shared" ca="1" si="180"/>
        <v>-1</v>
      </c>
      <c r="BV59" s="746">
        <f t="shared" ca="1" si="181"/>
        <v>5</v>
      </c>
      <c r="BW59" s="746" t="str">
        <f t="shared" ca="1" si="182"/>
        <v>-</v>
      </c>
      <c r="BX59" s="746" t="str">
        <f t="shared" ca="1" si="183"/>
        <v>-</v>
      </c>
      <c r="BY59" s="746">
        <f t="shared" ca="1" si="184"/>
        <v>5</v>
      </c>
      <c r="BZ59" s="746" t="str">
        <f t="shared" ca="1" si="185"/>
        <v>-</v>
      </c>
      <c r="CA59" s="746" t="str">
        <f t="shared" ref="CA59:CA69" ca="1" si="199">IF(BZ59="-","-",COUNTIF($BD$58:$BD$69,"&gt;"&amp;BD59))</f>
        <v>-</v>
      </c>
      <c r="CB59" s="746">
        <f t="shared" ref="CB59:CB68" ca="1" si="200">BY59+COUNTIFS(BZ$58:BZ$69,BZ59,CA$58:CA$69,"&gt;"&amp;CA59)</f>
        <v>5</v>
      </c>
      <c r="CC59" s="746"/>
      <c r="CD59" s="746">
        <f t="shared" ref="CD59:CD69" ca="1" si="201">IF(OR(INDEX($AW$102:$AW$113,MATCH($BD59,$AV$102:$AV$113,0))="",BZ59="-"),CB59,INDEX($AW$102:$AW$113,MATCH($BD59,$AV$102:$AV$113,0))+CB59/1000)</f>
        <v>5</v>
      </c>
      <c r="CE59" s="746" t="str">
        <f t="shared" ref="CE59:CE69" ca="1" si="202">IF(BZ59="-","-",COUNTIF(CD$58:CD$69,"&lt;"&amp;CD59))</f>
        <v>-</v>
      </c>
      <c r="CF59" s="746">
        <f t="shared" ref="CF59:CF69" ca="1" si="203">BY59+COUNTIFS(BZ$58:BZ$69,BZ59,CE$58:CE$69,"&lt;"&amp;CE59)</f>
        <v>5</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Suecia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v>
      </c>
      <c r="F60" s="742" t="str">
        <f t="shared" ref="F60:F65" ca="1" si="208">IF(D60="Pendiente","-",INDEX($BT$6:$BT$53,MATCH($AF60,$BD$6:$BD$53,0)))</f>
        <v>-</v>
      </c>
      <c r="G60" s="742"/>
      <c r="H60" s="742" t="str">
        <f t="shared" ref="H60:H65" ca="1" si="209">IF(D60="Pendiente","-",INDEX($BZ$6:$BZ$53,MATCH($AA60,$BD$6:$BD$53,0)))</f>
        <v>-</v>
      </c>
      <c r="I60" s="742" t="str">
        <f t="shared" ref="I60:I65" ca="1" si="210">IF(D60="Pendiente","-",INDEX($BZ$6:$BZ$53,MATCH($AF60,$BD$6:$BD$53,0)))</f>
        <v>-</v>
      </c>
      <c r="J60" s="742"/>
      <c r="K60" s="742" t="str">
        <f t="shared" ref="K60:K65" ca="1" si="211">IF(D60="Pendiente","-",INDEX($CE$6:$CE$53,MATCH($AA60,$BD$6:$BD$53,0)))</f>
        <v>-</v>
      </c>
      <c r="L60" s="742" t="str">
        <f t="shared" ref="L60:L65" ca="1" si="212">IF(D60="Pendiente","-",INDEX($CE$6:$CE$53,MATCH($AF60,$BD$6:$BD$53,0)))</f>
        <v>-</v>
      </c>
      <c r="M60" s="742"/>
      <c r="N60" s="742" t="str">
        <f t="shared" ref="N60:N65" ca="1" si="213">IF(D60="Pendiente","-",INDEX($CH$6:$CH$53,MATCH($AA60,$BD$6:$BD$53,0)))</f>
        <v>-</v>
      </c>
      <c r="O60" s="742" t="str">
        <f t="shared" ref="O60:O65" ca="1" si="214">IF(D60="Pendiente","-",INDEX($CH$6:$CH$53,MATCH($AF60,$BD$6:$BD$53,0)))</f>
        <v>-</v>
      </c>
      <c r="P60" s="742"/>
      <c r="Q60" s="742" t="str">
        <f t="shared" ref="Q60:Q65" ca="1" si="215">IF(D60="Pendiente","-",INDEX($CN$6:$CN$53,MATCH($AA60,$BD$6:$BD$53,0)))</f>
        <v>-</v>
      </c>
      <c r="R60" s="742" t="str">
        <f t="shared" ref="R60:R65" ca="1" si="216">IF(D60="Pendiente","-",INDEX($CN$6:$CN$53,MATCH($AF60,$BD$6:$BD$53,0)))</f>
        <v>-</v>
      </c>
      <c r="S60" s="742"/>
      <c r="T60" s="742" t="str">
        <f t="shared" ref="T60:T65" ca="1" si="217">IF(D60="Pendiente","-",INDEX($CS$6:$CS$53,MATCH($AA60,$BD$6:$BD$53,0)))</f>
        <v>-</v>
      </c>
      <c r="U60" s="742" t="str">
        <f t="shared" ref="U60:U65" ca="1" si="218">IF(D60="Pendiente","-",INDEX($CS$6:$CS$53,MATCH($AF60,$BD$6:$BD$53,0)))</f>
        <v>-</v>
      </c>
      <c r="V60" s="172"/>
      <c r="W60" s="82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Escocia</v>
      </c>
      <c r="BE60" s="746">
        <f t="shared" ca="1" si="189"/>
        <v>3</v>
      </c>
      <c r="BF60" s="746">
        <f t="shared" ca="1" si="190"/>
        <v>3</v>
      </c>
      <c r="BG60" s="746">
        <f t="shared" ca="1" si="191"/>
        <v>1</v>
      </c>
      <c r="BH60" s="746">
        <f t="shared" ca="1" si="192"/>
        <v>0</v>
      </c>
      <c r="BI60" s="746">
        <f t="shared" ca="1" si="176"/>
        <v>2</v>
      </c>
      <c r="BJ60" s="746">
        <f t="shared" ca="1" si="177"/>
        <v>1</v>
      </c>
      <c r="BK60" s="746">
        <f t="shared" ca="1" si="178"/>
        <v>4</v>
      </c>
      <c r="BL60" s="746">
        <f t="shared" ca="1" si="193"/>
        <v>-3</v>
      </c>
      <c r="BM60" s="746">
        <f t="shared" ca="1" si="194"/>
        <v>11</v>
      </c>
      <c r="BN60" s="746">
        <f t="shared" ca="1" si="195"/>
        <v>11</v>
      </c>
      <c r="BO60" s="736" t="str">
        <f t="shared" si="196"/>
        <v>4C</v>
      </c>
      <c r="BP60" s="736"/>
      <c r="BQ60" s="736"/>
      <c r="BR60" s="746">
        <f t="shared" ca="1" si="179"/>
        <v>3</v>
      </c>
      <c r="BS60" s="746">
        <f t="shared" ca="1" si="197"/>
        <v>8</v>
      </c>
      <c r="BT60" s="746" t="str">
        <f t="shared" ca="1" si="198"/>
        <v>Pos. 8 (4)</v>
      </c>
      <c r="BU60" s="746">
        <f t="shared" ca="1" si="180"/>
        <v>-3</v>
      </c>
      <c r="BV60" s="746">
        <f t="shared" ca="1" si="181"/>
        <v>11</v>
      </c>
      <c r="BW60" s="746" t="str">
        <f t="shared" ca="1" si="182"/>
        <v>-</v>
      </c>
      <c r="BX60" s="746" t="str">
        <f t="shared" ca="1" si="183"/>
        <v>-</v>
      </c>
      <c r="BY60" s="746">
        <f t="shared" ca="1" si="184"/>
        <v>11</v>
      </c>
      <c r="BZ60" s="746" t="str">
        <f t="shared" ca="1" si="185"/>
        <v>-</v>
      </c>
      <c r="CA60" s="746" t="str">
        <f t="shared" ca="1" si="199"/>
        <v>-</v>
      </c>
      <c r="CB60" s="746">
        <f t="shared" ca="1" si="200"/>
        <v>11</v>
      </c>
      <c r="CC60" s="746"/>
      <c r="CD60" s="746">
        <f t="shared" ca="1" si="201"/>
        <v>11</v>
      </c>
      <c r="CE60" s="746" t="str">
        <f t="shared" ca="1" si="202"/>
        <v>-</v>
      </c>
      <c r="CF60" s="746">
        <f t="shared" ca="1" si="203"/>
        <v>11</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3</v>
      </c>
      <c r="DK60" s="742"/>
      <c r="DL60" s="742">
        <f t="shared" ca="1" si="204"/>
        <v>2</v>
      </c>
      <c r="DM60" s="736" t="str">
        <f t="shared" ca="1" si="187"/>
        <v>3.2</v>
      </c>
      <c r="DN60" s="742" t="e" cm="1" vm="31">
        <f t="array" aca="1" ref="DN60" ca="1">OFFSET(Horarios!$P$3,DJ60-1,0,DL60,1)</f>
        <v>#VALUE!</v>
      </c>
      <c r="DO60" s="742"/>
      <c r="DP60" s="742">
        <v>3</v>
      </c>
      <c r="DQ60" s="742" t="str">
        <f t="shared" ca="1" si="205"/>
        <v>Ecuador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P.3 (2)</v>
      </c>
      <c r="F61" s="742" t="str">
        <f t="shared" ca="1" si="208"/>
        <v>P.3 (2)</v>
      </c>
      <c r="G61" s="742"/>
      <c r="H61" s="742" t="str">
        <f t="shared" ca="1" si="209"/>
        <v>P.3 (2)</v>
      </c>
      <c r="I61" s="742" t="str">
        <f t="shared" ca="1" si="210"/>
        <v>P.3 (2)</v>
      </c>
      <c r="J61" s="742"/>
      <c r="K61" s="742" t="str">
        <f t="shared" ca="1" si="211"/>
        <v>P.3 (2)</v>
      </c>
      <c r="L61" s="742" t="str">
        <f t="shared" ca="1" si="212"/>
        <v>P.3 (2)</v>
      </c>
      <c r="M61" s="742"/>
      <c r="N61" s="742" t="str">
        <f t="shared" ca="1" si="213"/>
        <v>P.3 (2)</v>
      </c>
      <c r="O61" s="742" t="str">
        <f t="shared" ca="1" si="214"/>
        <v>P.3 (2)</v>
      </c>
      <c r="P61" s="742"/>
      <c r="Q61" s="742" t="str">
        <f t="shared" ca="1" si="215"/>
        <v>P.3 (2)</v>
      </c>
      <c r="R61" s="742" t="str">
        <f t="shared" ca="1" si="216"/>
        <v>P.3 (2)</v>
      </c>
      <c r="S61" s="742"/>
      <c r="T61" s="742" t="str">
        <f t="shared" ca="1" si="217"/>
        <v>P.3 (2)</v>
      </c>
      <c r="U61" s="742" t="str">
        <f t="shared" ca="1" si="218"/>
        <v>P.3 (2)</v>
      </c>
      <c r="V61" s="172"/>
      <c r="W61" s="82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Paraguay</v>
      </c>
      <c r="BE61" s="746">
        <f t="shared" ca="1" si="189"/>
        <v>4</v>
      </c>
      <c r="BF61" s="746">
        <f t="shared" ca="1" si="190"/>
        <v>3</v>
      </c>
      <c r="BG61" s="746">
        <f t="shared" ca="1" si="191"/>
        <v>1</v>
      </c>
      <c r="BH61" s="746">
        <f t="shared" ca="1" si="192"/>
        <v>1</v>
      </c>
      <c r="BI61" s="746">
        <f t="shared" ca="1" si="176"/>
        <v>1</v>
      </c>
      <c r="BJ61" s="746">
        <f t="shared" ca="1" si="177"/>
        <v>2</v>
      </c>
      <c r="BK61" s="746">
        <f t="shared" ca="1" si="178"/>
        <v>4</v>
      </c>
      <c r="BL61" s="746">
        <f t="shared" ca="1" si="193"/>
        <v>-2</v>
      </c>
      <c r="BM61" s="746">
        <f t="shared" ca="1" si="194"/>
        <v>7</v>
      </c>
      <c r="BN61" s="746">
        <f t="shared" ca="1" si="195"/>
        <v>7</v>
      </c>
      <c r="BO61" s="736" t="str">
        <f t="shared" si="196"/>
        <v>4D</v>
      </c>
      <c r="BP61" s="736"/>
      <c r="BQ61" s="736"/>
      <c r="BR61" s="746">
        <f t="shared" ca="1" si="179"/>
        <v>4</v>
      </c>
      <c r="BS61" s="746">
        <f t="shared" ca="1" si="197"/>
        <v>1</v>
      </c>
      <c r="BT61" s="746" t="str">
        <f t="shared" ca="1" si="198"/>
        <v>Pos. 1 (7)</v>
      </c>
      <c r="BU61" s="746">
        <f t="shared" ca="1" si="180"/>
        <v>-2</v>
      </c>
      <c r="BV61" s="746">
        <f t="shared" ca="1" si="181"/>
        <v>6</v>
      </c>
      <c r="BW61" s="746" t="str">
        <f t="shared" ca="1" si="182"/>
        <v>Pos. 6 (2)</v>
      </c>
      <c r="BX61" s="746">
        <f t="shared" ca="1" si="183"/>
        <v>2</v>
      </c>
      <c r="BY61" s="746">
        <f t="shared" ca="1" si="184"/>
        <v>7</v>
      </c>
      <c r="BZ61" s="746" t="str">
        <f t="shared" ca="1" si="185"/>
        <v>-</v>
      </c>
      <c r="CA61" s="746" t="str">
        <f t="shared" ca="1" si="199"/>
        <v>-</v>
      </c>
      <c r="CB61" s="746">
        <f t="shared" ca="1" si="200"/>
        <v>7</v>
      </c>
      <c r="CC61" s="746"/>
      <c r="CD61" s="746">
        <f t="shared" ca="1" si="201"/>
        <v>7</v>
      </c>
      <c r="CE61" s="746" t="str">
        <f t="shared" ca="1" si="202"/>
        <v>-</v>
      </c>
      <c r="CF61" s="746">
        <f t="shared" ca="1" si="203"/>
        <v>7</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3</v>
      </c>
      <c r="DK61" s="742"/>
      <c r="DL61" s="742">
        <f t="shared" ca="1" si="204"/>
        <v>2</v>
      </c>
      <c r="DM61" s="736" t="str">
        <f t="shared" ca="1" si="187"/>
        <v>3.2</v>
      </c>
      <c r="DN61" s="742" t="e" cm="1" vm="31">
        <f t="array" aca="1" ref="DN61" ca="1">OFFSET(Horarios!$P$3,DJ61-1,0,DL61,1)</f>
        <v>#VALUE!</v>
      </c>
      <c r="DO61" s="742"/>
      <c r="DP61" s="742">
        <v>4</v>
      </c>
      <c r="DQ61" s="742" t="str">
        <f t="shared" ca="1" si="205"/>
        <v>Ghana</v>
      </c>
      <c r="DR61" s="742"/>
      <c r="DS61" s="742"/>
      <c r="DT61" s="742" t="str">
        <f t="shared" ca="1" si="15"/>
        <v>Arabia Saudita-Uruguay</v>
      </c>
      <c r="DU61" s="742"/>
      <c r="DV61" s="742"/>
      <c r="DW61" s="8"/>
    </row>
    <row r="62" spans="1:127">
      <c r="A62" s="743" t="str">
        <f ca="1">+Equipos!B31</f>
        <v>Cabo Verde</v>
      </c>
      <c r="B62" s="740"/>
      <c r="C62" s="744"/>
      <c r="D62" s="742" t="str">
        <f t="shared" si="206"/>
        <v>Local</v>
      </c>
      <c r="E62" s="742" t="str">
        <f t="shared" ca="1" si="207"/>
        <v>-</v>
      </c>
      <c r="F62" s="742" t="str">
        <f t="shared" ca="1" si="208"/>
        <v>P.3 (2)</v>
      </c>
      <c r="G62" s="742"/>
      <c r="H62" s="742" t="str">
        <f t="shared" ca="1" si="209"/>
        <v>-</v>
      </c>
      <c r="I62" s="742" t="str">
        <f t="shared" ca="1" si="210"/>
        <v>P.3 (2)</v>
      </c>
      <c r="J62" s="742"/>
      <c r="K62" s="742" t="str">
        <f t="shared" ca="1" si="211"/>
        <v>-</v>
      </c>
      <c r="L62" s="742" t="str">
        <f t="shared" ca="1" si="212"/>
        <v>P.3 (2)</v>
      </c>
      <c r="M62" s="742"/>
      <c r="N62" s="742" t="str">
        <f t="shared" ca="1" si="213"/>
        <v>-</v>
      </c>
      <c r="O62" s="742" t="str">
        <f t="shared" ca="1" si="214"/>
        <v>P.3 (2)</v>
      </c>
      <c r="P62" s="742"/>
      <c r="Q62" s="742" t="str">
        <f t="shared" ca="1" si="215"/>
        <v>-</v>
      </c>
      <c r="R62" s="742" t="str">
        <f t="shared" ca="1" si="216"/>
        <v>P.3 (2)</v>
      </c>
      <c r="S62" s="742"/>
      <c r="T62" s="742" t="str">
        <f t="shared" ca="1" si="217"/>
        <v>-</v>
      </c>
      <c r="U62" s="742" t="str">
        <f t="shared" ca="1" si="218"/>
        <v>P.3 (2)</v>
      </c>
      <c r="V62" s="172"/>
      <c r="W62" s="82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Ecuador</v>
      </c>
      <c r="BE62" s="746">
        <f t="shared" ca="1" si="189"/>
        <v>4</v>
      </c>
      <c r="BF62" s="746">
        <f t="shared" ca="1" si="190"/>
        <v>3</v>
      </c>
      <c r="BG62" s="746">
        <f t="shared" ca="1" si="191"/>
        <v>1</v>
      </c>
      <c r="BH62" s="746">
        <f t="shared" ca="1" si="192"/>
        <v>1</v>
      </c>
      <c r="BI62" s="746">
        <f t="shared" ca="1" si="176"/>
        <v>1</v>
      </c>
      <c r="BJ62" s="746">
        <f t="shared" ca="1" si="177"/>
        <v>2</v>
      </c>
      <c r="BK62" s="746">
        <f t="shared" ca="1" si="178"/>
        <v>2</v>
      </c>
      <c r="BL62" s="746">
        <f t="shared" ca="1" si="193"/>
        <v>0</v>
      </c>
      <c r="BM62" s="746">
        <f t="shared" ca="1" si="194"/>
        <v>3</v>
      </c>
      <c r="BN62" s="746">
        <f t="shared" ca="1" si="195"/>
        <v>4</v>
      </c>
      <c r="BO62" s="736" t="str">
        <f t="shared" si="196"/>
        <v>4E</v>
      </c>
      <c r="BP62" s="736"/>
      <c r="BQ62" s="736"/>
      <c r="BR62" s="746">
        <f t="shared" ca="1" si="179"/>
        <v>4</v>
      </c>
      <c r="BS62" s="746">
        <f t="shared" ca="1" si="197"/>
        <v>1</v>
      </c>
      <c r="BT62" s="746" t="str">
        <f t="shared" ca="1" si="198"/>
        <v>Pos. 1 (7)</v>
      </c>
      <c r="BU62" s="746">
        <f t="shared" ca="1" si="180"/>
        <v>0</v>
      </c>
      <c r="BV62" s="746">
        <f t="shared" ca="1" si="181"/>
        <v>2</v>
      </c>
      <c r="BW62" s="746" t="str">
        <f t="shared" ca="1" si="182"/>
        <v>Pos. 2 (3)</v>
      </c>
      <c r="BX62" s="746">
        <f t="shared" ca="1" si="183"/>
        <v>2</v>
      </c>
      <c r="BY62" s="746">
        <f t="shared" ca="1" si="184"/>
        <v>3</v>
      </c>
      <c r="BZ62" s="746" t="str">
        <f t="shared" ca="1" si="185"/>
        <v>Pos. 3 (2)</v>
      </c>
      <c r="CA62" s="746">
        <f t="shared" ca="1" si="199"/>
        <v>8</v>
      </c>
      <c r="CB62" s="746">
        <f t="shared" ca="1" si="200"/>
        <v>3</v>
      </c>
      <c r="CC62" s="746"/>
      <c r="CD62" s="746">
        <f t="shared" ca="1" si="201"/>
        <v>4.0030000000000001</v>
      </c>
      <c r="CE62" s="746">
        <f t="shared" ca="1" si="202"/>
        <v>3</v>
      </c>
      <c r="CF62" s="746">
        <f t="shared" ca="1" si="203"/>
        <v>4</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5</v>
      </c>
      <c r="DK62" s="742"/>
      <c r="DL62" s="742">
        <f t="shared" ca="1" si="204"/>
        <v>1</v>
      </c>
      <c r="DM62" s="736" t="str">
        <f t="shared" ca="1" si="187"/>
        <v>5.1</v>
      </c>
      <c r="DN62" s="742" cm="1">
        <f t="array" aca="1" ref="DN62" ca="1">OFFSET(Horarios!$P$3,DJ62-1,0,DL62,1)</f>
        <v>5</v>
      </c>
      <c r="DO62" s="742"/>
      <c r="DP62" s="742">
        <v>5</v>
      </c>
      <c r="DQ62" s="742" t="str">
        <f t="shared" ca="1" si="205"/>
        <v>Bosnia y Herzegovina</v>
      </c>
      <c r="DR62" s="742"/>
      <c r="DS62" s="742"/>
      <c r="DT62" s="742" t="str">
        <f t="shared" ca="1" si="15"/>
        <v>España-Arabia Saudita</v>
      </c>
      <c r="DU62" s="742"/>
      <c r="DV62" s="742"/>
      <c r="DW62" s="8"/>
    </row>
    <row r="63" spans="1:127">
      <c r="A63" s="743" t="str">
        <f ca="1">+Equipos!B32</f>
        <v>Arabia Saudita</v>
      </c>
      <c r="B63" s="740"/>
      <c r="C63" s="742"/>
      <c r="D63" s="742" t="str">
        <f t="shared" si="206"/>
        <v>Empate</v>
      </c>
      <c r="E63" s="742" t="str">
        <f t="shared" ca="1" si="207"/>
        <v>P.3 (2)</v>
      </c>
      <c r="F63" s="742" t="str">
        <f t="shared" ca="1" si="208"/>
        <v>-</v>
      </c>
      <c r="G63" s="742"/>
      <c r="H63" s="742" t="str">
        <f t="shared" ca="1" si="209"/>
        <v>P.3 (2)</v>
      </c>
      <c r="I63" s="742" t="str">
        <f t="shared" ca="1" si="210"/>
        <v>-</v>
      </c>
      <c r="J63" s="742"/>
      <c r="K63" s="742" t="str">
        <f t="shared" ca="1" si="211"/>
        <v>P.3 (2)</v>
      </c>
      <c r="L63" s="742" t="str">
        <f t="shared" ca="1" si="212"/>
        <v>-</v>
      </c>
      <c r="M63" s="742"/>
      <c r="N63" s="742" t="str">
        <f t="shared" ca="1" si="213"/>
        <v>P.3 (2)</v>
      </c>
      <c r="O63" s="742" t="str">
        <f t="shared" ca="1" si="214"/>
        <v>-</v>
      </c>
      <c r="P63" s="742"/>
      <c r="Q63" s="742" t="str">
        <f t="shared" ca="1" si="215"/>
        <v>P.3 (2)</v>
      </c>
      <c r="R63" s="742" t="str">
        <f t="shared" ca="1" si="216"/>
        <v>-</v>
      </c>
      <c r="S63" s="742"/>
      <c r="T63" s="742" t="str">
        <f t="shared" ca="1" si="217"/>
        <v>P.3 (2)</v>
      </c>
      <c r="U63" s="742" t="str">
        <f t="shared" ca="1" si="218"/>
        <v>-</v>
      </c>
      <c r="V63" s="172"/>
      <c r="W63" s="82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4</v>
      </c>
      <c r="BF63" s="746">
        <f t="shared" ca="1" si="190"/>
        <v>3</v>
      </c>
      <c r="BG63" s="746">
        <f t="shared" ca="1" si="191"/>
        <v>1</v>
      </c>
      <c r="BH63" s="746">
        <f t="shared" ca="1" si="192"/>
        <v>1</v>
      </c>
      <c r="BI63" s="746">
        <f t="shared" ca="1" si="176"/>
        <v>1</v>
      </c>
      <c r="BJ63" s="746">
        <f t="shared" ca="1" si="177"/>
        <v>7</v>
      </c>
      <c r="BK63" s="746">
        <f t="shared" ca="1" si="178"/>
        <v>7</v>
      </c>
      <c r="BL63" s="746">
        <f t="shared" ca="1" si="193"/>
        <v>0</v>
      </c>
      <c r="BM63" s="746">
        <f t="shared" ca="1" si="194"/>
        <v>2</v>
      </c>
      <c r="BN63" s="746">
        <f t="shared" ca="1" si="195"/>
        <v>2</v>
      </c>
      <c r="BO63" s="736" t="str">
        <f t="shared" si="196"/>
        <v>4F</v>
      </c>
      <c r="BP63" s="736"/>
      <c r="BQ63" s="736"/>
      <c r="BR63" s="746">
        <f t="shared" ca="1" si="179"/>
        <v>4</v>
      </c>
      <c r="BS63" s="746">
        <f t="shared" ca="1" si="197"/>
        <v>1</v>
      </c>
      <c r="BT63" s="746" t="str">
        <f t="shared" ca="1" si="198"/>
        <v>Pos. 1 (7)</v>
      </c>
      <c r="BU63" s="746">
        <f t="shared" ca="1" si="180"/>
        <v>0</v>
      </c>
      <c r="BV63" s="746">
        <f t="shared" ca="1" si="181"/>
        <v>2</v>
      </c>
      <c r="BW63" s="746" t="str">
        <f t="shared" ca="1" si="182"/>
        <v>Pos. 2 (3)</v>
      </c>
      <c r="BX63" s="746">
        <f t="shared" ca="1" si="183"/>
        <v>7</v>
      </c>
      <c r="BY63" s="746">
        <f t="shared" ca="1" si="184"/>
        <v>2</v>
      </c>
      <c r="BZ63" s="746" t="str">
        <f t="shared" ca="1" si="185"/>
        <v>-</v>
      </c>
      <c r="CA63" s="746" t="str">
        <f t="shared" ca="1" si="199"/>
        <v>-</v>
      </c>
      <c r="CB63" s="746">
        <f t="shared" ca="1" si="200"/>
        <v>2</v>
      </c>
      <c r="CC63" s="746"/>
      <c r="CD63" s="746">
        <f t="shared" ca="1" si="201"/>
        <v>2</v>
      </c>
      <c r="CE63" s="746" t="str">
        <f t="shared" ca="1" si="202"/>
        <v>-</v>
      </c>
      <c r="CF63" s="746">
        <f t="shared" ca="1" si="203"/>
        <v>2</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Argelia</v>
      </c>
      <c r="DR63" s="742"/>
      <c r="DS63" s="742"/>
      <c r="DT63" s="742" t="str">
        <f t="shared" ca="1" si="15"/>
        <v>Uruguay-Cabo Verde</v>
      </c>
      <c r="DU63" s="742"/>
      <c r="DV63" s="742"/>
      <c r="DW63" s="8"/>
    </row>
    <row r="64" spans="1:127">
      <c r="A64" s="743" t="str">
        <f ca="1">+Equipos!B33</f>
        <v>Uruguay</v>
      </c>
      <c r="B64" s="740"/>
      <c r="C64" s="742"/>
      <c r="D64" s="742" t="str">
        <f t="shared" si="206"/>
        <v>Empate</v>
      </c>
      <c r="E64" s="742" t="str">
        <f t="shared" ca="1" si="207"/>
        <v>-</v>
      </c>
      <c r="F64" s="742" t="str">
        <f t="shared" ca="1" si="208"/>
        <v>P.3 (2)</v>
      </c>
      <c r="G64" s="742"/>
      <c r="H64" s="742" t="str">
        <f t="shared" ca="1" si="209"/>
        <v>-</v>
      </c>
      <c r="I64" s="742" t="str">
        <f t="shared" ca="1" si="210"/>
        <v>P.3 (2)</v>
      </c>
      <c r="J64" s="742"/>
      <c r="K64" s="742" t="str">
        <f t="shared" ca="1" si="211"/>
        <v>-</v>
      </c>
      <c r="L64" s="742" t="str">
        <f t="shared" ca="1" si="212"/>
        <v>P.3 (2)</v>
      </c>
      <c r="M64" s="742"/>
      <c r="N64" s="742" t="str">
        <f t="shared" ca="1" si="213"/>
        <v>-</v>
      </c>
      <c r="O64" s="742" t="str">
        <f t="shared" ca="1" si="214"/>
        <v>P.3 (2)</v>
      </c>
      <c r="P64" s="742"/>
      <c r="Q64" s="742" t="str">
        <f t="shared" ca="1" si="215"/>
        <v>-</v>
      </c>
      <c r="R64" s="742" t="str">
        <f t="shared" ca="1" si="216"/>
        <v>P.3 (2)</v>
      </c>
      <c r="S64" s="742"/>
      <c r="T64" s="742" t="str">
        <f t="shared" ca="1" si="217"/>
        <v>-</v>
      </c>
      <c r="U64" s="742" t="str">
        <f t="shared" ca="1" si="218"/>
        <v>P.3 (2)</v>
      </c>
      <c r="V64" s="172"/>
      <c r="W64" s="82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7" t="str">
        <f t="shared" si="188"/>
        <v>3G</v>
      </c>
      <c r="BC64" s="754" t="s">
        <v>6</v>
      </c>
      <c r="BD64" s="742" t="str">
        <f t="shared" ca="1" si="175"/>
        <v>Irán</v>
      </c>
      <c r="BE64" s="746">
        <f t="shared" ca="1" si="189"/>
        <v>3</v>
      </c>
      <c r="BF64" s="746">
        <f t="shared" ca="1" si="190"/>
        <v>3</v>
      </c>
      <c r="BG64" s="746">
        <f t="shared" ca="1" si="191"/>
        <v>0</v>
      </c>
      <c r="BH64" s="746">
        <f t="shared" ca="1" si="192"/>
        <v>3</v>
      </c>
      <c r="BI64" s="746">
        <f t="shared" ca="1" si="176"/>
        <v>0</v>
      </c>
      <c r="BJ64" s="746">
        <f t="shared" ca="1" si="177"/>
        <v>3</v>
      </c>
      <c r="BK64" s="746">
        <f t="shared" ca="1" si="178"/>
        <v>3</v>
      </c>
      <c r="BL64" s="746">
        <f t="shared" ca="1" si="193"/>
        <v>0</v>
      </c>
      <c r="BM64" s="746">
        <f t="shared" ca="1" si="194"/>
        <v>9</v>
      </c>
      <c r="BN64" s="746">
        <f t="shared" ca="1" si="195"/>
        <v>9</v>
      </c>
      <c r="BO64" s="736" t="str">
        <f t="shared" si="196"/>
        <v>4G</v>
      </c>
      <c r="BP64" s="736"/>
      <c r="BQ64" s="736"/>
      <c r="BR64" s="746">
        <f t="shared" ca="1" si="179"/>
        <v>3</v>
      </c>
      <c r="BS64" s="746">
        <f t="shared" ca="1" si="197"/>
        <v>8</v>
      </c>
      <c r="BT64" s="746" t="str">
        <f t="shared" ca="1" si="198"/>
        <v>Pos. 8 (4)</v>
      </c>
      <c r="BU64" s="746">
        <f t="shared" ca="1" si="180"/>
        <v>0</v>
      </c>
      <c r="BV64" s="746">
        <f t="shared" ca="1" si="181"/>
        <v>9</v>
      </c>
      <c r="BW64" s="746" t="str">
        <f t="shared" ca="1" si="182"/>
        <v>-</v>
      </c>
      <c r="BX64" s="746" t="str">
        <f t="shared" ca="1" si="183"/>
        <v>-</v>
      </c>
      <c r="BY64" s="746">
        <f t="shared" ca="1" si="184"/>
        <v>9</v>
      </c>
      <c r="BZ64" s="746" t="str">
        <f t="shared" ca="1" si="185"/>
        <v>-</v>
      </c>
      <c r="CA64" s="746" t="str">
        <f t="shared" ca="1" si="199"/>
        <v>-</v>
      </c>
      <c r="CB64" s="746">
        <f t="shared" ca="1" si="200"/>
        <v>9</v>
      </c>
      <c r="CC64" s="746"/>
      <c r="CD64" s="746">
        <f t="shared" ca="1" si="201"/>
        <v>9</v>
      </c>
      <c r="CE64" s="746" t="str">
        <f t="shared" ca="1" si="202"/>
        <v>-</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Paraguay</v>
      </c>
      <c r="DR64" s="742"/>
      <c r="DS64" s="742"/>
      <c r="DT64" s="742" t="str">
        <f t="shared" ca="1" si="15"/>
        <v>Cabo Verde-Arabia Saudita</v>
      </c>
      <c r="DU64" s="742"/>
      <c r="DV64" s="742"/>
      <c r="DW64" s="8"/>
    </row>
    <row r="65" spans="1:127" ht="15" thickBot="1">
      <c r="A65" s="737"/>
      <c r="B65" s="740"/>
      <c r="C65" s="737"/>
      <c r="D65" s="742" t="str">
        <f t="shared" si="206"/>
        <v>Visitante</v>
      </c>
      <c r="E65" s="742" t="str">
        <f t="shared" ca="1" si="207"/>
        <v>P.3 (2)</v>
      </c>
      <c r="F65" s="742" t="str">
        <f t="shared" ca="1" si="208"/>
        <v>-</v>
      </c>
      <c r="G65" s="742"/>
      <c r="H65" s="742" t="str">
        <f t="shared" ca="1" si="209"/>
        <v>P.3 (2)</v>
      </c>
      <c r="I65" s="742" t="str">
        <f t="shared" ca="1" si="210"/>
        <v>-</v>
      </c>
      <c r="J65" s="742"/>
      <c r="K65" s="742" t="str">
        <f t="shared" ca="1" si="211"/>
        <v>P.3 (2)</v>
      </c>
      <c r="L65" s="742" t="str">
        <f t="shared" ca="1" si="212"/>
        <v>-</v>
      </c>
      <c r="M65" s="742"/>
      <c r="N65" s="742" t="str">
        <f t="shared" ca="1" si="213"/>
        <v>P.3 (2)</v>
      </c>
      <c r="O65" s="742" t="str">
        <f t="shared" ca="1" si="214"/>
        <v>-</v>
      </c>
      <c r="P65" s="742"/>
      <c r="Q65" s="742" t="str">
        <f t="shared" ca="1" si="215"/>
        <v>P.3 (2)</v>
      </c>
      <c r="R65" s="742" t="str">
        <f t="shared" ca="1" si="216"/>
        <v>-</v>
      </c>
      <c r="S65" s="742"/>
      <c r="T65" s="742" t="str">
        <f t="shared" ca="1" si="217"/>
        <v>P.3 (2)</v>
      </c>
      <c r="U65" s="742" t="str">
        <f t="shared" ca="1" si="218"/>
        <v>-</v>
      </c>
      <c r="V65" s="172"/>
      <c r="W65" s="82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7" t="str">
        <f t="shared" si="188"/>
        <v>3H</v>
      </c>
      <c r="BC65" s="754" t="s">
        <v>437</v>
      </c>
      <c r="BD65" s="742" t="str">
        <f t="shared" ca="1" si="175"/>
        <v>Uruguay</v>
      </c>
      <c r="BE65" s="746">
        <f t="shared" ca="1" si="189"/>
        <v>2</v>
      </c>
      <c r="BF65" s="746">
        <f t="shared" ca="1" si="190"/>
        <v>3</v>
      </c>
      <c r="BG65" s="746">
        <f t="shared" ca="1" si="191"/>
        <v>0</v>
      </c>
      <c r="BH65" s="746">
        <f t="shared" ca="1" si="192"/>
        <v>2</v>
      </c>
      <c r="BI65" s="746">
        <f t="shared" ca="1" si="176"/>
        <v>1</v>
      </c>
      <c r="BJ65" s="746">
        <f t="shared" ca="1" si="177"/>
        <v>3</v>
      </c>
      <c r="BK65" s="746">
        <f t="shared" ca="1" si="178"/>
        <v>4</v>
      </c>
      <c r="BL65" s="746">
        <f t="shared" ca="1" si="193"/>
        <v>-1</v>
      </c>
      <c r="BM65" s="746">
        <f t="shared" ca="1" si="194"/>
        <v>12</v>
      </c>
      <c r="BN65" s="746">
        <f t="shared" ca="1" si="195"/>
        <v>12</v>
      </c>
      <c r="BO65" s="736" t="str">
        <f t="shared" si="196"/>
        <v>4H</v>
      </c>
      <c r="BP65" s="736"/>
      <c r="BQ65" s="736"/>
      <c r="BR65" s="746">
        <f t="shared" ca="1" si="179"/>
        <v>2</v>
      </c>
      <c r="BS65" s="746">
        <f t="shared" ca="1" si="197"/>
        <v>12</v>
      </c>
      <c r="BT65" s="746" t="str">
        <f t="shared" ca="1" si="198"/>
        <v>-</v>
      </c>
      <c r="BU65" s="746" t="str">
        <f t="shared" ca="1" si="180"/>
        <v>-</v>
      </c>
      <c r="BV65" s="746">
        <f t="shared" ca="1" si="181"/>
        <v>12</v>
      </c>
      <c r="BW65" s="746" t="str">
        <f t="shared" ca="1" si="182"/>
        <v>-</v>
      </c>
      <c r="BX65" s="746" t="str">
        <f t="shared" ca="1" si="183"/>
        <v>-</v>
      </c>
      <c r="BY65" s="746">
        <f t="shared" ca="1" si="184"/>
        <v>12</v>
      </c>
      <c r="BZ65" s="746" t="str">
        <f t="shared" ca="1" si="185"/>
        <v>-</v>
      </c>
      <c r="CA65" s="746" t="str">
        <f t="shared" ca="1" si="199"/>
        <v>-</v>
      </c>
      <c r="CB65" s="746">
        <f t="shared" ca="1" si="200"/>
        <v>12</v>
      </c>
      <c r="CC65" s="746"/>
      <c r="CD65" s="746">
        <f t="shared" ca="1" si="201"/>
        <v>12</v>
      </c>
      <c r="CE65" s="746" t="str">
        <f t="shared" ca="1" si="202"/>
        <v>-</v>
      </c>
      <c r="CF65" s="746">
        <f t="shared" ca="1" si="203"/>
        <v>12</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Senegal</v>
      </c>
      <c r="DR65" s="742"/>
      <c r="DS65" s="742"/>
      <c r="DT65" s="742" t="str">
        <f t="shared" ca="1" si="15"/>
        <v>Uruguay-España</v>
      </c>
      <c r="DU65" s="742"/>
      <c r="DV65" s="742"/>
      <c r="DW65" s="8"/>
    </row>
    <row r="66" spans="1:127" ht="1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3</v>
      </c>
      <c r="BF66" s="746">
        <f t="shared" ca="1" si="190"/>
        <v>3</v>
      </c>
      <c r="BG66" s="746">
        <f t="shared" ca="1" si="191"/>
        <v>1</v>
      </c>
      <c r="BH66" s="746">
        <f t="shared" ca="1" si="192"/>
        <v>0</v>
      </c>
      <c r="BI66" s="746">
        <f t="shared" ca="1" si="176"/>
        <v>2</v>
      </c>
      <c r="BJ66" s="746">
        <f t="shared" ca="1" si="177"/>
        <v>8</v>
      </c>
      <c r="BK66" s="746">
        <f t="shared" ca="1" si="178"/>
        <v>6</v>
      </c>
      <c r="BL66" s="746">
        <f t="shared" ca="1" si="193"/>
        <v>2</v>
      </c>
      <c r="BM66" s="746">
        <f t="shared" ca="1" si="194"/>
        <v>8</v>
      </c>
      <c r="BN66" s="746">
        <f t="shared" ca="1" si="195"/>
        <v>8</v>
      </c>
      <c r="BO66" s="736" t="str">
        <f t="shared" si="196"/>
        <v>4I</v>
      </c>
      <c r="BP66" s="736"/>
      <c r="BQ66" s="736"/>
      <c r="BR66" s="746">
        <f t="shared" ca="1" si="179"/>
        <v>3</v>
      </c>
      <c r="BS66" s="746">
        <f t="shared" ca="1" si="197"/>
        <v>8</v>
      </c>
      <c r="BT66" s="746" t="str">
        <f t="shared" ca="1" si="198"/>
        <v>Pos. 8 (4)</v>
      </c>
      <c r="BU66" s="746">
        <f t="shared" ca="1" si="180"/>
        <v>2</v>
      </c>
      <c r="BV66" s="746">
        <f t="shared" ca="1" si="181"/>
        <v>8</v>
      </c>
      <c r="BW66" s="746" t="str">
        <f t="shared" ca="1" si="182"/>
        <v>-</v>
      </c>
      <c r="BX66" s="746" t="str">
        <f t="shared" ca="1" si="183"/>
        <v>-</v>
      </c>
      <c r="BY66" s="746">
        <f t="shared" ca="1" si="184"/>
        <v>8</v>
      </c>
      <c r="BZ66" s="746" t="str">
        <f t="shared" ca="1" si="185"/>
        <v>-</v>
      </c>
      <c r="CA66" s="746" t="str">
        <f t="shared" ca="1" si="199"/>
        <v>-</v>
      </c>
      <c r="CB66" s="746">
        <f t="shared" ca="1" si="200"/>
        <v>8</v>
      </c>
      <c r="CC66" s="746"/>
      <c r="CD66" s="746">
        <f t="shared" ca="1" si="201"/>
        <v>8</v>
      </c>
      <c r="CE66" s="746" t="str">
        <f t="shared" ca="1" si="202"/>
        <v>-</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9</v>
      </c>
      <c r="DK66" s="742"/>
      <c r="DL66" s="742">
        <f t="shared" ca="1" si="204"/>
        <v>1</v>
      </c>
      <c r="DM66" s="736" t="str">
        <f t="shared" ca="1" si="187"/>
        <v>9.1</v>
      </c>
      <c r="DN66" s="742" cm="1">
        <f t="array" aca="1" ref="DN66" ca="1">OFFSET(Horarios!$P$3,DJ66-1,0,DL66,1)</f>
        <v>9</v>
      </c>
      <c r="DO66" s="742"/>
      <c r="DP66" s="742">
        <v>9</v>
      </c>
      <c r="DQ66" s="742" t="str">
        <f t="shared" ca="1" si="205"/>
        <v>Irán</v>
      </c>
      <c r="DR66" s="742"/>
      <c r="DS66" s="742"/>
      <c r="DT66" s="742" t="str">
        <f t="shared" si="15"/>
        <v>-</v>
      </c>
      <c r="DU66" s="742"/>
      <c r="DV66" s="742"/>
      <c r="DW66" s="8"/>
    </row>
    <row r="67" spans="1:127" ht="1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Argelia</v>
      </c>
      <c r="BE67" s="746">
        <f t="shared" ca="1" si="189"/>
        <v>4</v>
      </c>
      <c r="BF67" s="746">
        <f t="shared" ca="1" si="190"/>
        <v>3</v>
      </c>
      <c r="BG67" s="746">
        <f t="shared" ca="1" si="191"/>
        <v>1</v>
      </c>
      <c r="BH67" s="746">
        <f t="shared" ca="1" si="192"/>
        <v>1</v>
      </c>
      <c r="BI67" s="746">
        <f t="shared" ca="1" si="176"/>
        <v>1</v>
      </c>
      <c r="BJ67" s="746">
        <f t="shared" ca="1" si="177"/>
        <v>5</v>
      </c>
      <c r="BK67" s="746">
        <f t="shared" ca="1" si="178"/>
        <v>7</v>
      </c>
      <c r="BL67" s="746">
        <f t="shared" ca="1" si="193"/>
        <v>-2</v>
      </c>
      <c r="BM67" s="746">
        <f t="shared" ca="1" si="194"/>
        <v>6</v>
      </c>
      <c r="BN67" s="746">
        <f t="shared" ca="1" si="195"/>
        <v>6</v>
      </c>
      <c r="BO67" s="736" t="str">
        <f t="shared" si="196"/>
        <v>4J</v>
      </c>
      <c r="BP67" s="736"/>
      <c r="BQ67" s="736"/>
      <c r="BR67" s="746">
        <f t="shared" ca="1" si="179"/>
        <v>4</v>
      </c>
      <c r="BS67" s="746">
        <f t="shared" ca="1" si="197"/>
        <v>1</v>
      </c>
      <c r="BT67" s="746" t="str">
        <f t="shared" ca="1" si="198"/>
        <v>Pos. 1 (7)</v>
      </c>
      <c r="BU67" s="746">
        <f t="shared" ca="1" si="180"/>
        <v>-2</v>
      </c>
      <c r="BV67" s="746">
        <f t="shared" ca="1" si="181"/>
        <v>6</v>
      </c>
      <c r="BW67" s="746" t="str">
        <f t="shared" ca="1" si="182"/>
        <v>Pos. 6 (2)</v>
      </c>
      <c r="BX67" s="746">
        <f t="shared" ca="1" si="183"/>
        <v>5</v>
      </c>
      <c r="BY67" s="746">
        <f t="shared" ca="1" si="184"/>
        <v>6</v>
      </c>
      <c r="BZ67" s="746" t="str">
        <f t="shared" ca="1" si="185"/>
        <v>-</v>
      </c>
      <c r="CA67" s="746" t="str">
        <f t="shared" ca="1" si="199"/>
        <v>-</v>
      </c>
      <c r="CB67" s="746">
        <f t="shared" ca="1" si="200"/>
        <v>6</v>
      </c>
      <c r="CC67" s="746"/>
      <c r="CD67" s="746">
        <f t="shared" ca="1" si="201"/>
        <v>6</v>
      </c>
      <c r="CE67" s="746" t="str">
        <f t="shared" ca="1" si="202"/>
        <v>-</v>
      </c>
      <c r="CF67" s="746">
        <f t="shared" ca="1" si="203"/>
        <v>6</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Corea del Sur</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v>
      </c>
      <c r="F68" s="742" t="str">
        <f t="shared" ref="F68:F73" ca="1" si="227">IF(D68="Pendiente","-",INDEX($BT$6:$BT$53,MATCH($AF68,$BD$6:$BD$53,0)))</f>
        <v>-</v>
      </c>
      <c r="G68" s="742"/>
      <c r="H68" s="742" t="str">
        <f t="shared" ref="H68:H73" ca="1" si="228">IF(D68="Pendiente","-",INDEX($BZ$6:$BZ$53,MATCH($AA68,$BD$6:$BD$53,0)))</f>
        <v>-</v>
      </c>
      <c r="I68" s="742" t="str">
        <f t="shared" ref="I68:I73" ca="1" si="229">IF(D68="Pendiente","-",INDEX($BZ$6:$BZ$53,MATCH($AF68,$BD$6:$BD$53,0)))</f>
        <v>-</v>
      </c>
      <c r="J68" s="742"/>
      <c r="K68" s="742" t="str">
        <f t="shared" ref="K68:K73" ca="1" si="230">IF(D68="Pendiente","-",INDEX($CE$6:$CE$53,MATCH($AA68,$BD$6:$BD$53,0)))</f>
        <v>-</v>
      </c>
      <c r="L68" s="742" t="str">
        <f t="shared" ref="L68:L73" ca="1" si="231">IF(D68="Pendiente","-",INDEX($CE$6:$CE$53,MATCH($AF68,$BD$6:$BD$53,0)))</f>
        <v>-</v>
      </c>
      <c r="M68" s="742"/>
      <c r="N68" s="742" t="str">
        <f t="shared" ref="N68:N73" ca="1" si="232">IF(D68="Pendiente","-",INDEX($CH$6:$CH$53,MATCH($AA68,$BD$6:$BD$53,0)))</f>
        <v>-</v>
      </c>
      <c r="O68" s="742" t="str">
        <f t="shared" ref="O68:O73" ca="1" si="233">IF(D68="Pendiente","-",INDEX($CH$6:$CH$53,MATCH($AF68,$BD$6:$BD$53,0)))</f>
        <v>-</v>
      </c>
      <c r="P68" s="742"/>
      <c r="Q68" s="742" t="str">
        <f t="shared" ref="Q68:Q73" ca="1" si="234">IF(D68="Pendiente","-",INDEX($CN$6:$CN$53,MATCH($AA68,$BD$6:$BD$53,0)))</f>
        <v>-</v>
      </c>
      <c r="R68" s="742" t="str">
        <f t="shared" ref="R68:R73" ca="1" si="235">IF(D68="Pendiente","-",INDEX($CN$6:$CN$53,MATCH($AF68,$BD$6:$BD$53,0)))</f>
        <v>-</v>
      </c>
      <c r="S68" s="742"/>
      <c r="T68" s="742" t="str">
        <f t="shared" ref="T68:T73" ca="1" si="236">IF(D68="Pendiente","-",INDEX($CS$6:$CS$53,MATCH($AA68,$BD$6:$BD$53,0)))</f>
        <v>-</v>
      </c>
      <c r="U68" s="742" t="str">
        <f t="shared" ref="U68:U73" ca="1" si="237">IF(D68="Pendiente","-",INDEX($CS$6:$CS$53,MATCH($AF68,$BD$6:$BD$53,0)))</f>
        <v>-</v>
      </c>
      <c r="V68" s="172"/>
      <c r="W68" s="83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4</v>
      </c>
      <c r="BF68" s="746">
        <f t="shared" ca="1" si="190"/>
        <v>3</v>
      </c>
      <c r="BG68" s="746">
        <f t="shared" ca="1" si="191"/>
        <v>1</v>
      </c>
      <c r="BH68" s="746">
        <f t="shared" ca="1" si="192"/>
        <v>1</v>
      </c>
      <c r="BI68" s="746">
        <f t="shared" ca="1" si="176"/>
        <v>1</v>
      </c>
      <c r="BJ68" s="746">
        <f t="shared" ca="1" si="177"/>
        <v>4</v>
      </c>
      <c r="BK68" s="746">
        <f t="shared" ca="1" si="178"/>
        <v>3</v>
      </c>
      <c r="BL68" s="746">
        <f t="shared" ca="1" si="193"/>
        <v>1</v>
      </c>
      <c r="BM68" s="746">
        <f t="shared" ca="1" si="194"/>
        <v>1</v>
      </c>
      <c r="BN68" s="746">
        <f t="shared" ca="1" si="195"/>
        <v>1</v>
      </c>
      <c r="BO68" s="736" t="str">
        <f t="shared" si="196"/>
        <v>4K</v>
      </c>
      <c r="BP68" s="736"/>
      <c r="BQ68" s="736"/>
      <c r="BR68" s="746">
        <f t="shared" ca="1" si="179"/>
        <v>4</v>
      </c>
      <c r="BS68" s="746">
        <f t="shared" ca="1" si="197"/>
        <v>1</v>
      </c>
      <c r="BT68" s="746" t="str">
        <f t="shared" ca="1" si="198"/>
        <v>Pos. 1 (7)</v>
      </c>
      <c r="BU68" s="746">
        <f t="shared" ca="1" si="180"/>
        <v>1</v>
      </c>
      <c r="BV68" s="746">
        <f t="shared" ca="1" si="181"/>
        <v>1</v>
      </c>
      <c r="BW68" s="746" t="str">
        <f t="shared" ca="1" si="182"/>
        <v>-</v>
      </c>
      <c r="BX68" s="746" t="str">
        <f t="shared" ca="1" si="183"/>
        <v>-</v>
      </c>
      <c r="BY68" s="746">
        <f t="shared" ca="1" si="184"/>
        <v>1</v>
      </c>
      <c r="BZ68" s="746" t="str">
        <f t="shared" ca="1" si="185"/>
        <v>-</v>
      </c>
      <c r="CA68" s="746" t="str">
        <f t="shared" ca="1" si="199"/>
        <v>-</v>
      </c>
      <c r="CB68" s="746">
        <f t="shared" ca="1" si="200"/>
        <v>1</v>
      </c>
      <c r="CC68" s="746"/>
      <c r="CD68" s="746">
        <f t="shared" ca="1" si="201"/>
        <v>1</v>
      </c>
      <c r="CE68" s="746" t="str">
        <f t="shared" ca="1" si="202"/>
        <v>-</v>
      </c>
      <c r="CF68" s="746">
        <f t="shared" ca="1" si="203"/>
        <v>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11</v>
      </c>
      <c r="DK68" s="742"/>
      <c r="DL68" s="742">
        <f t="shared" ca="1" si="204"/>
        <v>1</v>
      </c>
      <c r="DM68" s="736" t="str">
        <f t="shared" ca="1" si="187"/>
        <v>11.1</v>
      </c>
      <c r="DN68" s="742" cm="1">
        <f t="array" aca="1" ref="DN68" ca="1">OFFSET(Horarios!$P$3,DJ68-1,0,DL68,1)</f>
        <v>11</v>
      </c>
      <c r="DO68" s="742"/>
      <c r="DP68" s="742">
        <v>11</v>
      </c>
      <c r="DQ68" s="742" t="str">
        <f t="shared" ca="1" si="205"/>
        <v>Escocia</v>
      </c>
      <c r="DR68" s="742"/>
      <c r="DS68" s="742"/>
      <c r="DT68" s="742" t="str">
        <f t="shared" ca="1" si="15"/>
        <v>Francia-Senegal</v>
      </c>
      <c r="DU68" s="742"/>
      <c r="DV68" s="742"/>
      <c r="DW68" s="8"/>
    </row>
    <row r="69" spans="1:127" ht="16.05" customHeight="1">
      <c r="A69" s="743" t="str">
        <f ca="1">+Equipos!B34</f>
        <v>Francia</v>
      </c>
      <c r="B69" s="740"/>
      <c r="C69" s="740"/>
      <c r="D69" s="742" t="str">
        <f t="shared" si="225"/>
        <v>Visitante</v>
      </c>
      <c r="E69" s="742" t="str">
        <f t="shared" ca="1" si="226"/>
        <v>-</v>
      </c>
      <c r="F69" s="742" t="str">
        <f t="shared" ca="1" si="227"/>
        <v>-</v>
      </c>
      <c r="G69" s="742"/>
      <c r="H69" s="742" t="str">
        <f t="shared" ca="1" si="228"/>
        <v>-</v>
      </c>
      <c r="I69" s="742" t="str">
        <f t="shared" ca="1" si="229"/>
        <v>-</v>
      </c>
      <c r="J69" s="742"/>
      <c r="K69" s="742" t="str">
        <f t="shared" ca="1" si="230"/>
        <v>-</v>
      </c>
      <c r="L69" s="742" t="str">
        <f t="shared" ca="1" si="231"/>
        <v>-</v>
      </c>
      <c r="M69" s="742"/>
      <c r="N69" s="742" t="str">
        <f t="shared" ca="1" si="232"/>
        <v>-</v>
      </c>
      <c r="O69" s="742" t="str">
        <f t="shared" ca="1" si="233"/>
        <v>-</v>
      </c>
      <c r="P69" s="742"/>
      <c r="Q69" s="742" t="str">
        <f t="shared" ca="1" si="234"/>
        <v>-</v>
      </c>
      <c r="R69" s="742" t="str">
        <f t="shared" ca="1" si="235"/>
        <v>-</v>
      </c>
      <c r="S69" s="742"/>
      <c r="T69" s="742" t="str">
        <f t="shared" ca="1" si="236"/>
        <v>-</v>
      </c>
      <c r="U69" s="742" t="str">
        <f t="shared" ca="1" si="237"/>
        <v>-</v>
      </c>
      <c r="V69" s="172"/>
      <c r="W69" s="83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4</v>
      </c>
      <c r="BF69" s="746">
        <f t="shared" ca="1" si="190"/>
        <v>3</v>
      </c>
      <c r="BG69" s="746">
        <f t="shared" ca="1" si="191"/>
        <v>1</v>
      </c>
      <c r="BH69" s="746">
        <f t="shared" ca="1" si="192"/>
        <v>1</v>
      </c>
      <c r="BI69" s="746">
        <f t="shared" ca="1" si="176"/>
        <v>1</v>
      </c>
      <c r="BJ69" s="746">
        <f t="shared" ca="1" si="177"/>
        <v>2</v>
      </c>
      <c r="BK69" s="746">
        <f t="shared" ca="1" si="178"/>
        <v>2</v>
      </c>
      <c r="BL69" s="746">
        <f t="shared" ca="1" si="193"/>
        <v>0</v>
      </c>
      <c r="BM69" s="746">
        <f t="shared" ca="1" si="194"/>
        <v>4</v>
      </c>
      <c r="BN69" s="746">
        <f t="shared" ca="1" si="195"/>
        <v>3</v>
      </c>
      <c r="BO69" s="736" t="str">
        <f t="shared" si="196"/>
        <v>4L</v>
      </c>
      <c r="BP69" s="736"/>
      <c r="BQ69" s="736"/>
      <c r="BR69" s="746">
        <f t="shared" ca="1" si="179"/>
        <v>4</v>
      </c>
      <c r="BS69" s="746">
        <f t="shared" ca="1" si="197"/>
        <v>1</v>
      </c>
      <c r="BT69" s="746" t="str">
        <f t="shared" ca="1" si="198"/>
        <v>Pos. 1 (7)</v>
      </c>
      <c r="BU69" s="746">
        <f t="shared" ca="1" si="180"/>
        <v>0</v>
      </c>
      <c r="BV69" s="746">
        <f t="shared" ca="1" si="181"/>
        <v>2</v>
      </c>
      <c r="BW69" s="746" t="str">
        <f t="shared" ca="1" si="182"/>
        <v>Pos. 2 (3)</v>
      </c>
      <c r="BX69" s="746">
        <f t="shared" ca="1" si="183"/>
        <v>2</v>
      </c>
      <c r="BY69" s="746">
        <f t="shared" ca="1" si="184"/>
        <v>3</v>
      </c>
      <c r="BZ69" s="746" t="str">
        <f t="shared" ca="1" si="185"/>
        <v>Pos. 3 (2)</v>
      </c>
      <c r="CA69" s="746">
        <f t="shared" ca="1" si="199"/>
        <v>6</v>
      </c>
      <c r="CB69" s="746">
        <f ca="1">BY69+COUNTIFS(BZ$58:BZ$69,BZ69,CA$58:CA$69,"&gt;"&amp;CA69)</f>
        <v>4</v>
      </c>
      <c r="CC69" s="746"/>
      <c r="CD69" s="746">
        <f t="shared" ca="1" si="201"/>
        <v>3.004</v>
      </c>
      <c r="CE69" s="746">
        <f t="shared" ca="1" si="202"/>
        <v>2</v>
      </c>
      <c r="CF69" s="746">
        <f t="shared" ca="1" si="203"/>
        <v>3</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Uruguay</v>
      </c>
      <c r="DR69" s="742"/>
      <c r="DS69" s="742"/>
      <c r="DT69" s="742" t="str">
        <f t="shared" ref="DT69:DT132" ca="1" si="242">AA69&amp;"-"&amp;AF69</f>
        <v>Irak-Noruega</v>
      </c>
      <c r="DU69" s="742"/>
      <c r="DV69" s="742"/>
      <c r="DW69" s="8"/>
    </row>
    <row r="70" spans="1:127" ht="16.05" customHeight="1">
      <c r="A70" s="743" t="str">
        <f ca="1">+Equipos!B35</f>
        <v>Senegal</v>
      </c>
      <c r="B70" s="740"/>
      <c r="C70" s="744"/>
      <c r="D70" s="742" t="str">
        <f t="shared" si="225"/>
        <v>Local</v>
      </c>
      <c r="E70" s="742" t="str">
        <f t="shared" ca="1" si="226"/>
        <v>-</v>
      </c>
      <c r="F70" s="742" t="str">
        <f t="shared" ca="1" si="227"/>
        <v>-</v>
      </c>
      <c r="G70" s="742"/>
      <c r="H70" s="742" t="str">
        <f t="shared" ca="1" si="228"/>
        <v>-</v>
      </c>
      <c r="I70" s="742" t="str">
        <f t="shared" ca="1" si="229"/>
        <v>-</v>
      </c>
      <c r="J70" s="742"/>
      <c r="K70" s="742" t="str">
        <f t="shared" ca="1" si="230"/>
        <v>-</v>
      </c>
      <c r="L70" s="742" t="str">
        <f t="shared" ca="1" si="231"/>
        <v>-</v>
      </c>
      <c r="M70" s="742"/>
      <c r="N70" s="742" t="str">
        <f t="shared" ca="1" si="232"/>
        <v>-</v>
      </c>
      <c r="O70" s="742" t="str">
        <f t="shared" ca="1" si="233"/>
        <v>-</v>
      </c>
      <c r="P70" s="742"/>
      <c r="Q70" s="742" t="str">
        <f t="shared" ca="1" si="234"/>
        <v>-</v>
      </c>
      <c r="R70" s="742" t="str">
        <f t="shared" ca="1" si="235"/>
        <v>-</v>
      </c>
      <c r="S70" s="742"/>
      <c r="T70" s="742" t="str">
        <f t="shared" ca="1" si="236"/>
        <v>-</v>
      </c>
      <c r="U70" s="742" t="str">
        <f t="shared" ca="1" si="237"/>
        <v>-</v>
      </c>
      <c r="V70" s="172"/>
      <c r="W70" s="83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6.05" customHeight="1">
      <c r="A71" s="743" t="str">
        <f ca="1">+Equipos!B36</f>
        <v>Irak</v>
      </c>
      <c r="B71" s="740"/>
      <c r="C71" s="742"/>
      <c r="D71" s="742" t="str">
        <f t="shared" si="225"/>
        <v>Local</v>
      </c>
      <c r="E71" s="742" t="str">
        <f t="shared" ca="1" si="226"/>
        <v>-</v>
      </c>
      <c r="F71" s="742" t="str">
        <f t="shared" ca="1" si="227"/>
        <v>-</v>
      </c>
      <c r="G71" s="742"/>
      <c r="H71" s="742" t="str">
        <f t="shared" ca="1" si="228"/>
        <v>-</v>
      </c>
      <c r="I71" s="742" t="str">
        <f t="shared" ca="1" si="229"/>
        <v>-</v>
      </c>
      <c r="J71" s="742"/>
      <c r="K71" s="742" t="str">
        <f t="shared" ca="1" si="230"/>
        <v>-</v>
      </c>
      <c r="L71" s="742" t="str">
        <f t="shared" ca="1" si="231"/>
        <v>-</v>
      </c>
      <c r="M71" s="742"/>
      <c r="N71" s="742" t="str">
        <f t="shared" ca="1" si="232"/>
        <v>-</v>
      </c>
      <c r="O71" s="742" t="str">
        <f t="shared" ca="1" si="233"/>
        <v>-</v>
      </c>
      <c r="P71" s="742"/>
      <c r="Q71" s="742" t="str">
        <f t="shared" ca="1" si="234"/>
        <v>-</v>
      </c>
      <c r="R71" s="742" t="str">
        <f t="shared" ca="1" si="235"/>
        <v>-</v>
      </c>
      <c r="S71" s="742"/>
      <c r="T71" s="742" t="str">
        <f t="shared" ca="1" si="236"/>
        <v>-</v>
      </c>
      <c r="U71" s="742" t="str">
        <f t="shared" ca="1" si="237"/>
        <v>-</v>
      </c>
      <c r="V71" s="172"/>
      <c r="W71" s="83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6.05" customHeight="1">
      <c r="A72" s="743" t="str">
        <f ca="1">+Equipos!B37</f>
        <v>Noruega</v>
      </c>
      <c r="B72" s="740"/>
      <c r="C72" s="742"/>
      <c r="D72" s="742" t="str">
        <f t="shared" si="225"/>
        <v>Visitante</v>
      </c>
      <c r="E72" s="742" t="str">
        <f t="shared" ca="1" si="226"/>
        <v>-</v>
      </c>
      <c r="F72" s="742" t="str">
        <f t="shared" ca="1" si="227"/>
        <v>-</v>
      </c>
      <c r="G72" s="742"/>
      <c r="H72" s="742" t="str">
        <f t="shared" ca="1" si="228"/>
        <v>-</v>
      </c>
      <c r="I72" s="742" t="str">
        <f t="shared" ca="1" si="229"/>
        <v>-</v>
      </c>
      <c r="J72" s="742"/>
      <c r="K72" s="742" t="str">
        <f t="shared" ca="1" si="230"/>
        <v>-</v>
      </c>
      <c r="L72" s="742" t="str">
        <f t="shared" ca="1" si="231"/>
        <v>-</v>
      </c>
      <c r="M72" s="742"/>
      <c r="N72" s="742" t="str">
        <f t="shared" ca="1" si="232"/>
        <v>-</v>
      </c>
      <c r="O72" s="742" t="str">
        <f t="shared" ca="1" si="233"/>
        <v>-</v>
      </c>
      <c r="P72" s="742"/>
      <c r="Q72" s="742" t="str">
        <f t="shared" ca="1" si="234"/>
        <v>-</v>
      </c>
      <c r="R72" s="742" t="str">
        <f t="shared" ca="1" si="235"/>
        <v>-</v>
      </c>
      <c r="S72" s="742"/>
      <c r="T72" s="742" t="str">
        <f t="shared" ca="1" si="236"/>
        <v>-</v>
      </c>
      <c r="U72" s="742" t="str">
        <f t="shared" ca="1" si="237"/>
        <v>-</v>
      </c>
      <c r="V72" s="172"/>
      <c r="W72" s="83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6.95" customHeight="1" thickBot="1">
      <c r="A73" s="737"/>
      <c r="B73" s="737"/>
      <c r="C73" s="737"/>
      <c r="D73" s="742" t="str">
        <f t="shared" si="225"/>
        <v>Local</v>
      </c>
      <c r="E73" s="742" t="str">
        <f t="shared" ca="1" si="226"/>
        <v>-</v>
      </c>
      <c r="F73" s="742" t="str">
        <f t="shared" ca="1" si="227"/>
        <v>-</v>
      </c>
      <c r="G73" s="742"/>
      <c r="H73" s="742" t="str">
        <f t="shared" ca="1" si="228"/>
        <v>-</v>
      </c>
      <c r="I73" s="742" t="str">
        <f t="shared" ca="1" si="229"/>
        <v>-</v>
      </c>
      <c r="J73" s="742"/>
      <c r="K73" s="742" t="str">
        <f t="shared" ca="1" si="230"/>
        <v>-</v>
      </c>
      <c r="L73" s="742" t="str">
        <f t="shared" ca="1" si="231"/>
        <v>-</v>
      </c>
      <c r="M73" s="742"/>
      <c r="N73" s="742" t="str">
        <f t="shared" ca="1" si="232"/>
        <v>-</v>
      </c>
      <c r="O73" s="742" t="str">
        <f t="shared" ca="1" si="233"/>
        <v>-</v>
      </c>
      <c r="P73" s="742"/>
      <c r="Q73" s="742" t="str">
        <f t="shared" ca="1" si="234"/>
        <v>-</v>
      </c>
      <c r="R73" s="742" t="str">
        <f t="shared" ca="1" si="235"/>
        <v>-</v>
      </c>
      <c r="S73" s="742"/>
      <c r="T73" s="742" t="str">
        <f t="shared" ca="1" si="236"/>
        <v>-</v>
      </c>
      <c r="U73" s="742" t="str">
        <f t="shared" ca="1" si="237"/>
        <v>-</v>
      </c>
      <c r="V73" s="172"/>
      <c r="W73" s="83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6.0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v>
      </c>
      <c r="F76" s="742" t="str">
        <f t="shared" ref="F76:F81" ca="1" si="247">IF(D76="Pendiente","-",INDEX($BT$6:$BT$53,MATCH($AF76,$BD$6:$BD$53,0)))</f>
        <v>P.2 (2)</v>
      </c>
      <c r="G76" s="742"/>
      <c r="H76" s="742" t="str">
        <f t="shared" ref="H76:H81" ca="1" si="248">IF(D76="Pendiente","-",INDEX($BZ$6:$BZ$53,MATCH($AA76,$BD$6:$BD$53,0)))</f>
        <v>-</v>
      </c>
      <c r="I76" s="742" t="str">
        <f t="shared" ref="I76:I81" ca="1" si="249">IF(D76="Pendiente","-",INDEX($BZ$6:$BZ$53,MATCH($AF76,$BD$6:$BD$53,0)))</f>
        <v>P.2 (2)</v>
      </c>
      <c r="J76" s="742"/>
      <c r="K76" s="742" t="str">
        <f t="shared" ref="K76:K81" ca="1" si="250">IF(D76="Pendiente","-",INDEX($CE$6:$CE$53,MATCH($AA76,$BD$6:$BD$53,0)))</f>
        <v>-</v>
      </c>
      <c r="L76" s="742" t="str">
        <f t="shared" ref="L76:L81" ca="1" si="251">IF(D76="Pendiente","-",INDEX($CE$6:$CE$53,MATCH($AF76,$BD$6:$BD$53,0)))</f>
        <v>P.2 (2)</v>
      </c>
      <c r="M76" s="742"/>
      <c r="N76" s="742" t="str">
        <f t="shared" ref="N76:N81" ca="1" si="252">IF(D76="Pendiente","-",INDEX($CH$6:$CH$53,MATCH($AA76,$BD$6:$BD$53,0)))</f>
        <v>-</v>
      </c>
      <c r="O76" s="742" t="str">
        <f t="shared" ref="O76:O81" ca="1" si="253">IF(D76="Pendiente","-",INDEX($CH$6:$CH$53,MATCH($AF76,$BD$6:$BD$53,0)))</f>
        <v>P.2 (2)</v>
      </c>
      <c r="P76" s="742"/>
      <c r="Q76" s="742" t="str">
        <f t="shared" ref="Q76:Q81" ca="1" si="254">IF(D76="Pendiente","-",INDEX($CN$6:$CN$53,MATCH($AA76,$BD$6:$BD$53,0)))</f>
        <v>-</v>
      </c>
      <c r="R76" s="742" t="str">
        <f t="shared" ref="R76:R81" ca="1" si="255">IF(D76="Pendiente","-",INDEX($CN$6:$CN$53,MATCH($AF76,$BD$6:$BD$53,0)))</f>
        <v>P.2 (2)</v>
      </c>
      <c r="S76" s="742"/>
      <c r="T76" s="742" t="str">
        <f t="shared" ref="T76:T81" ca="1" si="256">IF(D76="Pendiente","-",INDEX($CS$6:$CS$53,MATCH($AA76,$BD$6:$BD$53,0)))</f>
        <v>-</v>
      </c>
      <c r="U76" s="742" t="str">
        <f t="shared" ref="U76:U81" ca="1" si="257">IF(D76="Pendiente","-",INDEX($CS$6:$CS$53,MATCH($AF76,$BD$6:$BD$53,0)))</f>
        <v>P.2 (2)</v>
      </c>
      <c r="V76" s="172"/>
      <c r="W76" s="82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6.05" customHeight="1">
      <c r="A77" s="743" t="str">
        <f ca="1">+Equipos!B38</f>
        <v>Argentina</v>
      </c>
      <c r="B77" s="740"/>
      <c r="C77" s="740"/>
      <c r="D77" s="742" t="str">
        <f t="shared" si="245"/>
        <v>Local</v>
      </c>
      <c r="E77" s="742" t="str">
        <f t="shared" ca="1" si="246"/>
        <v>P.2 (2)</v>
      </c>
      <c r="F77" s="742" t="str">
        <f t="shared" ca="1" si="247"/>
        <v>-</v>
      </c>
      <c r="G77" s="742"/>
      <c r="H77" s="742" t="str">
        <f t="shared" ca="1" si="248"/>
        <v>P.2 (2)</v>
      </c>
      <c r="I77" s="742" t="str">
        <f t="shared" ca="1" si="249"/>
        <v>-</v>
      </c>
      <c r="J77" s="742"/>
      <c r="K77" s="742" t="str">
        <f t="shared" ca="1" si="250"/>
        <v>P.2 (2)</v>
      </c>
      <c r="L77" s="742" t="str">
        <f t="shared" ca="1" si="251"/>
        <v>-</v>
      </c>
      <c r="M77" s="742"/>
      <c r="N77" s="742" t="str">
        <f t="shared" ca="1" si="252"/>
        <v>P.2 (2)</v>
      </c>
      <c r="O77" s="742" t="str">
        <f t="shared" ca="1" si="253"/>
        <v>-</v>
      </c>
      <c r="P77" s="742"/>
      <c r="Q77" s="742" t="str">
        <f t="shared" ca="1" si="254"/>
        <v>P.2 (2)</v>
      </c>
      <c r="R77" s="742" t="str">
        <f t="shared" ca="1" si="255"/>
        <v>-</v>
      </c>
      <c r="S77" s="742"/>
      <c r="T77" s="742" t="str">
        <f t="shared" ca="1" si="256"/>
        <v>P.2 (2)</v>
      </c>
      <c r="U77" s="742" t="str">
        <f t="shared" ca="1" si="257"/>
        <v>-</v>
      </c>
      <c r="V77" s="172"/>
      <c r="W77" s="82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6.05" customHeight="1">
      <c r="A78" s="743" t="str">
        <f ca="1">+Equipos!B39</f>
        <v>Argelia</v>
      </c>
      <c r="B78" s="740"/>
      <c r="C78" s="744"/>
      <c r="D78" s="742" t="str">
        <f t="shared" si="245"/>
        <v>Local</v>
      </c>
      <c r="E78" s="742" t="str">
        <f t="shared" ca="1" si="246"/>
        <v>-</v>
      </c>
      <c r="F78" s="742" t="str">
        <f t="shared" ca="1" si="247"/>
        <v>P.2 (2)</v>
      </c>
      <c r="G78" s="742"/>
      <c r="H78" s="742" t="str">
        <f t="shared" ca="1" si="248"/>
        <v>-</v>
      </c>
      <c r="I78" s="742" t="str">
        <f t="shared" ca="1" si="249"/>
        <v>P.2 (2)</v>
      </c>
      <c r="J78" s="742"/>
      <c r="K78" s="742" t="str">
        <f t="shared" ca="1" si="250"/>
        <v>-</v>
      </c>
      <c r="L78" s="742" t="str">
        <f t="shared" ca="1" si="251"/>
        <v>P.2 (2)</v>
      </c>
      <c r="M78" s="742"/>
      <c r="N78" s="742" t="str">
        <f t="shared" ca="1" si="252"/>
        <v>-</v>
      </c>
      <c r="O78" s="742" t="str">
        <f t="shared" ca="1" si="253"/>
        <v>P.2 (2)</v>
      </c>
      <c r="P78" s="742"/>
      <c r="Q78" s="742" t="str">
        <f t="shared" ca="1" si="254"/>
        <v>-</v>
      </c>
      <c r="R78" s="742" t="str">
        <f t="shared" ca="1" si="255"/>
        <v>P.2 (2)</v>
      </c>
      <c r="S78" s="742"/>
      <c r="T78" s="742" t="str">
        <f t="shared" ca="1" si="256"/>
        <v>-</v>
      </c>
      <c r="U78" s="742" t="str">
        <f t="shared" ca="1" si="257"/>
        <v>P.2 (2)</v>
      </c>
      <c r="V78" s="172"/>
      <c r="W78" s="82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6.05" customHeight="1">
      <c r="A79" s="743" t="str">
        <f ca="1">+Equipos!B40</f>
        <v>Austria</v>
      </c>
      <c r="B79" s="740"/>
      <c r="C79" s="742"/>
      <c r="D79" s="742" t="str">
        <f t="shared" si="245"/>
        <v>Visitante</v>
      </c>
      <c r="E79" s="742" t="str">
        <f t="shared" ca="1" si="246"/>
        <v>-</v>
      </c>
      <c r="F79" s="742" t="str">
        <f t="shared" ca="1" si="247"/>
        <v>P.2 (2)</v>
      </c>
      <c r="G79" s="742"/>
      <c r="H79" s="742" t="str">
        <f t="shared" ca="1" si="248"/>
        <v>-</v>
      </c>
      <c r="I79" s="742" t="str">
        <f t="shared" ca="1" si="249"/>
        <v>P.2 (2)</v>
      </c>
      <c r="J79" s="742"/>
      <c r="K79" s="742" t="str">
        <f t="shared" ca="1" si="250"/>
        <v>-</v>
      </c>
      <c r="L79" s="742" t="str">
        <f t="shared" ca="1" si="251"/>
        <v>P.2 (2)</v>
      </c>
      <c r="M79" s="742"/>
      <c r="N79" s="742" t="str">
        <f t="shared" ca="1" si="252"/>
        <v>-</v>
      </c>
      <c r="O79" s="742" t="str">
        <f t="shared" ca="1" si="253"/>
        <v>P.2 (2)</v>
      </c>
      <c r="P79" s="742"/>
      <c r="Q79" s="742" t="str">
        <f t="shared" ca="1" si="254"/>
        <v>-</v>
      </c>
      <c r="R79" s="742" t="str">
        <f t="shared" ca="1" si="255"/>
        <v>P.2 (2)</v>
      </c>
      <c r="S79" s="742"/>
      <c r="T79" s="742" t="str">
        <f t="shared" ca="1" si="256"/>
        <v>-</v>
      </c>
      <c r="U79" s="742" t="str">
        <f t="shared" ca="1" si="257"/>
        <v>P.2 (2)</v>
      </c>
      <c r="V79" s="172"/>
      <c r="W79" s="82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6.05" customHeight="1">
      <c r="A80" s="743" t="str">
        <f ca="1">+Equipos!B41</f>
        <v>Jordania</v>
      </c>
      <c r="B80" s="740"/>
      <c r="C80" s="742"/>
      <c r="D80" s="742" t="str">
        <f t="shared" si="245"/>
        <v>Empate</v>
      </c>
      <c r="E80" s="742" t="str">
        <f t="shared" ca="1" si="246"/>
        <v>P.2 (2)</v>
      </c>
      <c r="F80" s="742" t="str">
        <f t="shared" ca="1" si="247"/>
        <v>P.2 (2)</v>
      </c>
      <c r="G80" s="742"/>
      <c r="H80" s="742" t="str">
        <f t="shared" ca="1" si="248"/>
        <v>P.2 (2)</v>
      </c>
      <c r="I80" s="742" t="str">
        <f t="shared" ca="1" si="249"/>
        <v>P.2 (2)</v>
      </c>
      <c r="J80" s="742"/>
      <c r="K80" s="742" t="str">
        <f t="shared" ca="1" si="250"/>
        <v>P.2 (2)</v>
      </c>
      <c r="L80" s="742" t="str">
        <f t="shared" ca="1" si="251"/>
        <v>P.2 (2)</v>
      </c>
      <c r="M80" s="742"/>
      <c r="N80" s="742" t="str">
        <f t="shared" ca="1" si="252"/>
        <v>P.2 (2)</v>
      </c>
      <c r="O80" s="742" t="str">
        <f t="shared" ca="1" si="253"/>
        <v>P.2 (2)</v>
      </c>
      <c r="P80" s="742"/>
      <c r="Q80" s="742" t="str">
        <f t="shared" ca="1" si="254"/>
        <v>P.2 (2)</v>
      </c>
      <c r="R80" s="742" t="str">
        <f t="shared" ca="1" si="255"/>
        <v>P.2 (2)</v>
      </c>
      <c r="S80" s="742"/>
      <c r="T80" s="742" t="str">
        <f t="shared" ca="1" si="256"/>
        <v>P.2 (2)</v>
      </c>
      <c r="U80" s="742" t="str">
        <f t="shared" ca="1" si="257"/>
        <v>P.2 (2)</v>
      </c>
      <c r="V80" s="172"/>
      <c r="W80" s="82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6.95" customHeight="1" thickBot="1">
      <c r="A81" s="737"/>
      <c r="B81" s="737"/>
      <c r="C81" s="737"/>
      <c r="D81" s="742" t="str">
        <f t="shared" si="245"/>
        <v>Visitante</v>
      </c>
      <c r="E81" s="742" t="str">
        <f t="shared" ca="1" si="246"/>
        <v>-</v>
      </c>
      <c r="F81" s="742" t="str">
        <f t="shared" ca="1" si="247"/>
        <v>-</v>
      </c>
      <c r="G81" s="742"/>
      <c r="H81" s="742" t="str">
        <f t="shared" ca="1" si="248"/>
        <v>-</v>
      </c>
      <c r="I81" s="742" t="str">
        <f t="shared" ca="1" si="249"/>
        <v>-</v>
      </c>
      <c r="J81" s="742"/>
      <c r="K81" s="742" t="str">
        <f t="shared" ca="1" si="250"/>
        <v>-</v>
      </c>
      <c r="L81" s="742" t="str">
        <f t="shared" ca="1" si="251"/>
        <v>-</v>
      </c>
      <c r="M81" s="742"/>
      <c r="N81" s="742" t="str">
        <f t="shared" ca="1" si="252"/>
        <v>-</v>
      </c>
      <c r="O81" s="742" t="str">
        <f t="shared" ca="1" si="253"/>
        <v>-</v>
      </c>
      <c r="P81" s="742"/>
      <c r="Q81" s="742" t="str">
        <f t="shared" ca="1" si="254"/>
        <v>-</v>
      </c>
      <c r="R81" s="742" t="str">
        <f t="shared" ca="1" si="255"/>
        <v>-</v>
      </c>
      <c r="S81" s="742"/>
      <c r="T81" s="742" t="str">
        <f t="shared" ca="1" si="256"/>
        <v>-</v>
      </c>
      <c r="U81" s="742" t="str">
        <f t="shared" ca="1" si="257"/>
        <v>-</v>
      </c>
      <c r="V81" s="172"/>
      <c r="W81" s="82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v>
      </c>
      <c r="F84" s="742" t="str">
        <f t="shared" ref="F84:F89" ca="1" si="266">IF(D84="Pendiente","-",INDEX($BT$6:$BT$53,MATCH($AF84,$BD$6:$BD$53,0)))</f>
        <v>-</v>
      </c>
      <c r="G84" s="742"/>
      <c r="H84" s="742" t="str">
        <f t="shared" ref="H84:H89" ca="1" si="267">IF(D84="Pendiente","-",INDEX($BZ$6:$BZ$53,MATCH($AA84,$BD$6:$BD$53,0)))</f>
        <v>-</v>
      </c>
      <c r="I84" s="742" t="str">
        <f t="shared" ref="I84:I89" ca="1" si="268">IF(D84="Pendiente","-",INDEX($BZ$6:$BZ$53,MATCH($AF84,$BD$6:$BD$53,0)))</f>
        <v>-</v>
      </c>
      <c r="J84" s="742"/>
      <c r="K84" s="742" t="str">
        <f t="shared" ref="K84:K89" ca="1" si="269">IF(D84="Pendiente","-",INDEX($CE$6:$CE$53,MATCH($AA84,$BD$6:$BD$53,0)))</f>
        <v>-</v>
      </c>
      <c r="L84" s="742" t="str">
        <f t="shared" ref="L84:L89" ca="1" si="270">IF(D84="Pendiente","-",INDEX($CE$6:$CE$53,MATCH($AF84,$BD$6:$BD$53,0)))</f>
        <v>-</v>
      </c>
      <c r="M84" s="742"/>
      <c r="N84" s="742" t="str">
        <f t="shared" ref="N84:N89" ca="1" si="271">IF(D84="Pendiente","-",INDEX($CH$6:$CH$53,MATCH($AA84,$BD$6:$BD$53,0)))</f>
        <v>-</v>
      </c>
      <c r="O84" s="742" t="str">
        <f t="shared" ref="O84:O89" ca="1" si="272">IF(D84="Pendiente","-",INDEX($CH$6:$CH$53,MATCH($AF84,$BD$6:$BD$53,0)))</f>
        <v>-</v>
      </c>
      <c r="P84" s="742"/>
      <c r="Q84" s="742" t="str">
        <f t="shared" ref="Q84:Q89" ca="1" si="273">IF(D84="Pendiente","-",INDEX($CN$6:$CN$53,MATCH($AA84,$BD$6:$BD$53,0)))</f>
        <v>-</v>
      </c>
      <c r="R84" s="742" t="str">
        <f t="shared" ref="R84:R89" ca="1" si="274">IF(D84="Pendiente","-",INDEX($CN$6:$CN$53,MATCH($AF84,$BD$6:$BD$53,0)))</f>
        <v>-</v>
      </c>
      <c r="S84" s="742"/>
      <c r="T84" s="742" t="str">
        <f t="shared" ref="T84:T89" ca="1" si="275">IF(D84="Pendiente","-",INDEX($CS$6:$CS$53,MATCH($AA84,$BD$6:$BD$53,0)))</f>
        <v>-</v>
      </c>
      <c r="U84" s="742" t="str">
        <f t="shared" ref="U84:U89" ca="1" si="276">IF(D84="Pendiente","-",INDEX($CS$6:$CS$53,MATCH($AF84,$BD$6:$BD$53,0)))</f>
        <v>-</v>
      </c>
      <c r="V84" s="172"/>
      <c r="W84" s="83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6.0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6.05" customHeight="1">
      <c r="A86" s="743" t="str">
        <f ca="1">+Equipos!B43</f>
        <v>RD Congo</v>
      </c>
      <c r="B86" s="740"/>
      <c r="C86" s="744"/>
      <c r="D86" s="742" t="str">
        <f t="shared" si="264"/>
        <v>Local</v>
      </c>
      <c r="E86" s="742" t="str">
        <f t="shared" ca="1" si="265"/>
        <v>-</v>
      </c>
      <c r="F86" s="742" t="str">
        <f t="shared" ca="1" si="266"/>
        <v>-</v>
      </c>
      <c r="G86" s="742"/>
      <c r="H86" s="742" t="str">
        <f t="shared" ca="1" si="267"/>
        <v>-</v>
      </c>
      <c r="I86" s="742" t="str">
        <f t="shared" ca="1" si="268"/>
        <v>-</v>
      </c>
      <c r="J86" s="742"/>
      <c r="K86" s="742" t="str">
        <f t="shared" ca="1" si="269"/>
        <v>-</v>
      </c>
      <c r="L86" s="742" t="str">
        <f t="shared" ca="1" si="270"/>
        <v>-</v>
      </c>
      <c r="M86" s="742"/>
      <c r="N86" s="742" t="str">
        <f t="shared" ca="1" si="271"/>
        <v>-</v>
      </c>
      <c r="O86" s="742" t="str">
        <f t="shared" ca="1" si="272"/>
        <v>-</v>
      </c>
      <c r="P86" s="742"/>
      <c r="Q86" s="742" t="str">
        <f t="shared" ca="1" si="273"/>
        <v>-</v>
      </c>
      <c r="R86" s="742" t="str">
        <f t="shared" ca="1" si="274"/>
        <v>-</v>
      </c>
      <c r="S86" s="742"/>
      <c r="T86" s="742" t="str">
        <f t="shared" ca="1" si="275"/>
        <v>-</v>
      </c>
      <c r="U86" s="742" t="str">
        <f t="shared" ca="1" si="276"/>
        <v>-</v>
      </c>
      <c r="V86" s="172"/>
      <c r="W86" s="83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6.05" customHeight="1">
      <c r="A87" s="743" t="str">
        <f ca="1">+Equipos!B44</f>
        <v>Uzbekistán</v>
      </c>
      <c r="B87" s="740"/>
      <c r="C87" s="742"/>
      <c r="D87" s="742" t="str">
        <f t="shared" si="264"/>
        <v>Local</v>
      </c>
      <c r="E87" s="742" t="str">
        <f t="shared" ca="1" si="265"/>
        <v>-</v>
      </c>
      <c r="F87" s="742" t="str">
        <f t="shared" ca="1" si="266"/>
        <v>-</v>
      </c>
      <c r="G87" s="742"/>
      <c r="H87" s="742" t="str">
        <f t="shared" ca="1" si="267"/>
        <v>-</v>
      </c>
      <c r="I87" s="742" t="str">
        <f t="shared" ca="1" si="268"/>
        <v>-</v>
      </c>
      <c r="J87" s="742"/>
      <c r="K87" s="742" t="str">
        <f t="shared" ca="1" si="269"/>
        <v>-</v>
      </c>
      <c r="L87" s="742" t="str">
        <f t="shared" ca="1" si="270"/>
        <v>-</v>
      </c>
      <c r="M87" s="742"/>
      <c r="N87" s="742" t="str">
        <f t="shared" ca="1" si="271"/>
        <v>-</v>
      </c>
      <c r="O87" s="742" t="str">
        <f t="shared" ca="1" si="272"/>
        <v>-</v>
      </c>
      <c r="P87" s="742"/>
      <c r="Q87" s="742" t="str">
        <f t="shared" ca="1" si="273"/>
        <v>-</v>
      </c>
      <c r="R87" s="742" t="str">
        <f t="shared" ca="1" si="274"/>
        <v>-</v>
      </c>
      <c r="S87" s="742"/>
      <c r="T87" s="742" t="str">
        <f t="shared" ca="1" si="275"/>
        <v>-</v>
      </c>
      <c r="U87" s="742" t="str">
        <f t="shared" ca="1" si="276"/>
        <v>-</v>
      </c>
      <c r="V87" s="172"/>
      <c r="W87" s="83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6.05" customHeight="1">
      <c r="A88" s="743" t="str">
        <f ca="1">+Equipos!B45</f>
        <v>Colombia</v>
      </c>
      <c r="B88" s="740"/>
      <c r="C88" s="742"/>
      <c r="D88" s="742" t="str">
        <f t="shared" si="264"/>
        <v>Empate</v>
      </c>
      <c r="E88" s="742" t="str">
        <f t="shared" ca="1" si="265"/>
        <v>-</v>
      </c>
      <c r="F88" s="742" t="str">
        <f t="shared" ca="1" si="266"/>
        <v>-</v>
      </c>
      <c r="G88" s="742"/>
      <c r="H88" s="742" t="str">
        <f t="shared" ca="1" si="267"/>
        <v>-</v>
      </c>
      <c r="I88" s="742" t="str">
        <f t="shared" ca="1" si="268"/>
        <v>-</v>
      </c>
      <c r="J88" s="742"/>
      <c r="K88" s="742" t="str">
        <f t="shared" ca="1" si="269"/>
        <v>-</v>
      </c>
      <c r="L88" s="742" t="str">
        <f t="shared" ca="1" si="270"/>
        <v>-</v>
      </c>
      <c r="M88" s="742"/>
      <c r="N88" s="742" t="str">
        <f t="shared" ca="1" si="271"/>
        <v>-</v>
      </c>
      <c r="O88" s="742" t="str">
        <f t="shared" ca="1" si="272"/>
        <v>-</v>
      </c>
      <c r="P88" s="742"/>
      <c r="Q88" s="742" t="str">
        <f t="shared" ca="1" si="273"/>
        <v>-</v>
      </c>
      <c r="R88" s="742" t="str">
        <f t="shared" ca="1" si="274"/>
        <v>-</v>
      </c>
      <c r="S88" s="742"/>
      <c r="T88" s="742" t="str">
        <f t="shared" ca="1" si="275"/>
        <v>-</v>
      </c>
      <c r="U88" s="742" t="str">
        <f t="shared" ca="1" si="276"/>
        <v>-</v>
      </c>
      <c r="V88" s="172"/>
      <c r="W88" s="83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6.95" customHeight="1" thickBot="1">
      <c r="A89" s="737"/>
      <c r="B89" s="737"/>
      <c r="C89" s="737"/>
      <c r="D89" s="742" t="str">
        <f t="shared" si="264"/>
        <v>Local</v>
      </c>
      <c r="E89" s="742" t="str">
        <f t="shared" ca="1" si="265"/>
        <v>-</v>
      </c>
      <c r="F89" s="742" t="str">
        <f t="shared" ca="1" si="266"/>
        <v>-</v>
      </c>
      <c r="G89" s="742"/>
      <c r="H89" s="742" t="str">
        <f t="shared" ca="1" si="267"/>
        <v>-</v>
      </c>
      <c r="I89" s="742" t="str">
        <f t="shared" ca="1" si="268"/>
        <v>-</v>
      </c>
      <c r="J89" s="742"/>
      <c r="K89" s="742" t="str">
        <f t="shared" ca="1" si="269"/>
        <v>-</v>
      </c>
      <c r="L89" s="742" t="str">
        <f t="shared" ca="1" si="270"/>
        <v>-</v>
      </c>
      <c r="M89" s="742"/>
      <c r="N89" s="742" t="str">
        <f t="shared" ca="1" si="271"/>
        <v>-</v>
      </c>
      <c r="O89" s="742" t="str">
        <f t="shared" ca="1" si="272"/>
        <v>-</v>
      </c>
      <c r="P89" s="742"/>
      <c r="Q89" s="742" t="str">
        <f t="shared" ca="1" si="273"/>
        <v>-</v>
      </c>
      <c r="R89" s="742" t="str">
        <f t="shared" ca="1" si="274"/>
        <v>-</v>
      </c>
      <c r="S89" s="742"/>
      <c r="T89" s="742" t="str">
        <f t="shared" ca="1" si="275"/>
        <v>-</v>
      </c>
      <c r="U89" s="742" t="str">
        <f t="shared" ca="1" si="276"/>
        <v>-</v>
      </c>
      <c r="V89" s="172"/>
      <c r="W89" s="83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v>
      </c>
      <c r="F92" s="742" t="str">
        <f t="shared" ref="F92:F97" ca="1" si="285">IF(D92="Pendiente","-",INDEX($BT$6:$BT$53,MATCH($AF92,$BD$6:$BD$53,0)))</f>
        <v>-</v>
      </c>
      <c r="G92" s="742"/>
      <c r="H92" s="742" t="str">
        <f t="shared" ref="H92:H97" ca="1" si="286">IF(D92="Pendiente","-",INDEX($BZ$6:$BZ$53,MATCH($AA92,$BD$6:$BD$53,0)))</f>
        <v>-</v>
      </c>
      <c r="I92" s="742" t="str">
        <f t="shared" ref="I92:I97" ca="1" si="287">IF(D92="Pendiente","-",INDEX($BZ$6:$BZ$53,MATCH($AF92,$BD$6:$BD$53,0)))</f>
        <v>-</v>
      </c>
      <c r="J92" s="742"/>
      <c r="K92" s="742" t="str">
        <f t="shared" ref="K92:K97" ca="1" si="288">IF(D92="Pendiente","-",INDEX($CE$6:$CE$53,MATCH($AA92,$BD$6:$BD$53,0)))</f>
        <v>-</v>
      </c>
      <c r="L92" s="742" t="str">
        <f t="shared" ref="L92:L97" ca="1" si="289">IF(D92="Pendiente","-",INDEX($CE$6:$CE$53,MATCH($AF92,$BD$6:$BD$53,0)))</f>
        <v>-</v>
      </c>
      <c r="M92" s="742"/>
      <c r="N92" s="742" t="str">
        <f t="shared" ref="N92:N97" ca="1" si="290">IF(D92="Pendiente","-",INDEX($CH$6:$CH$53,MATCH($AA92,$BD$6:$BD$53,0)))</f>
        <v>-</v>
      </c>
      <c r="O92" s="742" t="str">
        <f t="shared" ref="O92:O97" ca="1" si="291">IF(D92="Pendiente","-",INDEX($CH$6:$CH$53,MATCH($AF92,$BD$6:$BD$53,0)))</f>
        <v>-</v>
      </c>
      <c r="P92" s="742"/>
      <c r="Q92" s="742" t="str">
        <f t="shared" ref="Q92:Q97" ca="1" si="292">IF(D92="Pendiente","-",INDEX($CN$6:$CN$53,MATCH($AA92,$BD$6:$BD$53,0)))</f>
        <v>-</v>
      </c>
      <c r="R92" s="742" t="str">
        <f t="shared" ref="R92:R97" ca="1" si="293">IF(D92="Pendiente","-",INDEX($CN$6:$CN$53,MATCH($AF92,$BD$6:$BD$53,0)))</f>
        <v>-</v>
      </c>
      <c r="S92" s="742"/>
      <c r="T92" s="742" t="str">
        <f t="shared" ref="T92:T97" ca="1" si="294">IF(D92="Pendiente","-",INDEX($CS$6:$CS$53,MATCH($AA92,$BD$6:$BD$53,0)))</f>
        <v>-</v>
      </c>
      <c r="U92" s="742" t="str">
        <f t="shared" ref="U92:U97" ca="1" si="295">IF(D92="Pendiente","-",INDEX($CS$6:$CS$53,MATCH($AF92,$BD$6:$BD$53,0)))</f>
        <v>-</v>
      </c>
      <c r="V92" s="172"/>
      <c r="W92" s="83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6.05" customHeight="1">
      <c r="A93" s="743" t="str">
        <f ca="1">+Equipos!B46</f>
        <v>Inglaterra</v>
      </c>
      <c r="B93" s="740"/>
      <c r="C93" s="740"/>
      <c r="D93" s="742" t="str">
        <f t="shared" si="283"/>
        <v>Local</v>
      </c>
      <c r="E93" s="742" t="str">
        <f t="shared" ca="1" si="284"/>
        <v>-</v>
      </c>
      <c r="F93" s="742" t="str">
        <f t="shared" ca="1" si="285"/>
        <v>-</v>
      </c>
      <c r="G93" s="742"/>
      <c r="H93" s="742" t="str">
        <f t="shared" ca="1" si="286"/>
        <v>-</v>
      </c>
      <c r="I93" s="742" t="str">
        <f t="shared" ca="1" si="287"/>
        <v>-</v>
      </c>
      <c r="J93" s="742"/>
      <c r="K93" s="742" t="str">
        <f t="shared" ca="1" si="288"/>
        <v>-</v>
      </c>
      <c r="L93" s="742" t="str">
        <f t="shared" ca="1" si="289"/>
        <v>-</v>
      </c>
      <c r="M93" s="742"/>
      <c r="N93" s="742" t="str">
        <f t="shared" ca="1" si="290"/>
        <v>-</v>
      </c>
      <c r="O93" s="742" t="str">
        <f t="shared" ca="1" si="291"/>
        <v>-</v>
      </c>
      <c r="P93" s="742"/>
      <c r="Q93" s="742" t="str">
        <f t="shared" ca="1" si="292"/>
        <v>-</v>
      </c>
      <c r="R93" s="742" t="str">
        <f t="shared" ca="1" si="293"/>
        <v>-</v>
      </c>
      <c r="S93" s="742"/>
      <c r="T93" s="742" t="str">
        <f t="shared" ca="1" si="294"/>
        <v>-</v>
      </c>
      <c r="U93" s="742" t="str">
        <f t="shared" ca="1" si="295"/>
        <v>-</v>
      </c>
      <c r="V93" s="172"/>
      <c r="W93" s="83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6.05" customHeight="1">
      <c r="A94" s="743" t="str">
        <f ca="1">+Equipos!B47</f>
        <v>Croacia</v>
      </c>
      <c r="B94" s="740"/>
      <c r="C94" s="744"/>
      <c r="D94" s="742" t="str">
        <f t="shared" si="283"/>
        <v>Empate</v>
      </c>
      <c r="E94" s="742" t="str">
        <f t="shared" ca="1" si="284"/>
        <v>-</v>
      </c>
      <c r="F94" s="742" t="str">
        <f t="shared" ca="1" si="285"/>
        <v>-</v>
      </c>
      <c r="G94" s="742"/>
      <c r="H94" s="742" t="str">
        <f t="shared" ca="1" si="286"/>
        <v>-</v>
      </c>
      <c r="I94" s="742" t="str">
        <f t="shared" ca="1" si="287"/>
        <v>-</v>
      </c>
      <c r="J94" s="742"/>
      <c r="K94" s="742" t="str">
        <f t="shared" ca="1" si="288"/>
        <v>-</v>
      </c>
      <c r="L94" s="742" t="str">
        <f t="shared" ca="1" si="289"/>
        <v>-</v>
      </c>
      <c r="M94" s="742"/>
      <c r="N94" s="742" t="str">
        <f t="shared" ca="1" si="290"/>
        <v>-</v>
      </c>
      <c r="O94" s="742" t="str">
        <f t="shared" ca="1" si="291"/>
        <v>-</v>
      </c>
      <c r="P94" s="742"/>
      <c r="Q94" s="742" t="str">
        <f t="shared" ca="1" si="292"/>
        <v>-</v>
      </c>
      <c r="R94" s="742" t="str">
        <f t="shared" ca="1" si="293"/>
        <v>-</v>
      </c>
      <c r="S94" s="742"/>
      <c r="T94" s="742" t="str">
        <f t="shared" ca="1" si="294"/>
        <v>-</v>
      </c>
      <c r="U94" s="742" t="str">
        <f t="shared" ca="1" si="295"/>
        <v>-</v>
      </c>
      <c r="V94" s="172"/>
      <c r="W94" s="83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6.05" customHeight="1">
      <c r="A95" s="743" t="str">
        <f ca="1">+Equipos!B48</f>
        <v>Ghana</v>
      </c>
      <c r="B95" s="740"/>
      <c r="C95" s="742"/>
      <c r="D95" s="742" t="str">
        <f t="shared" si="283"/>
        <v>Visitante</v>
      </c>
      <c r="E95" s="742" t="str">
        <f t="shared" ca="1" si="284"/>
        <v>-</v>
      </c>
      <c r="F95" s="742" t="str">
        <f t="shared" ca="1" si="285"/>
        <v>-</v>
      </c>
      <c r="G95" s="742"/>
      <c r="H95" s="742" t="str">
        <f t="shared" ca="1" si="286"/>
        <v>-</v>
      </c>
      <c r="I95" s="742" t="str">
        <f t="shared" ca="1" si="287"/>
        <v>-</v>
      </c>
      <c r="J95" s="742"/>
      <c r="K95" s="742" t="str">
        <f t="shared" ca="1" si="288"/>
        <v>-</v>
      </c>
      <c r="L95" s="742" t="str">
        <f t="shared" ca="1" si="289"/>
        <v>-</v>
      </c>
      <c r="M95" s="742"/>
      <c r="N95" s="742" t="str">
        <f t="shared" ca="1" si="290"/>
        <v>-</v>
      </c>
      <c r="O95" s="742" t="str">
        <f t="shared" ca="1" si="291"/>
        <v>-</v>
      </c>
      <c r="P95" s="742"/>
      <c r="Q95" s="742" t="str">
        <f t="shared" ca="1" si="292"/>
        <v>-</v>
      </c>
      <c r="R95" s="742" t="str">
        <f t="shared" ca="1" si="293"/>
        <v>-</v>
      </c>
      <c r="S95" s="742"/>
      <c r="T95" s="742" t="str">
        <f t="shared" ca="1" si="294"/>
        <v>-</v>
      </c>
      <c r="U95" s="742" t="str">
        <f t="shared" ca="1" si="295"/>
        <v>-</v>
      </c>
      <c r="V95" s="172"/>
      <c r="W95" s="83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6.05" customHeight="1">
      <c r="A96" s="743" t="str">
        <f ca="1">+Equipos!B49</f>
        <v>Panamá</v>
      </c>
      <c r="B96" s="740"/>
      <c r="C96" s="742"/>
      <c r="D96" s="742" t="str">
        <f t="shared" si="283"/>
        <v>Visitante</v>
      </c>
      <c r="E96" s="742" t="str">
        <f t="shared" ca="1" si="284"/>
        <v>-</v>
      </c>
      <c r="F96" s="742" t="str">
        <f t="shared" ca="1" si="285"/>
        <v>-</v>
      </c>
      <c r="G96" s="742"/>
      <c r="H96" s="742" t="str">
        <f t="shared" ca="1" si="286"/>
        <v>-</v>
      </c>
      <c r="I96" s="742" t="str">
        <f t="shared" ca="1" si="287"/>
        <v>-</v>
      </c>
      <c r="J96" s="742"/>
      <c r="K96" s="742" t="str">
        <f t="shared" ca="1" si="288"/>
        <v>-</v>
      </c>
      <c r="L96" s="742" t="str">
        <f t="shared" ca="1" si="289"/>
        <v>-</v>
      </c>
      <c r="M96" s="742"/>
      <c r="N96" s="742" t="str">
        <f t="shared" ca="1" si="290"/>
        <v>-</v>
      </c>
      <c r="O96" s="742" t="str">
        <f t="shared" ca="1" si="291"/>
        <v>-</v>
      </c>
      <c r="P96" s="742"/>
      <c r="Q96" s="742" t="str">
        <f t="shared" ca="1" si="292"/>
        <v>-</v>
      </c>
      <c r="R96" s="742" t="str">
        <f t="shared" ca="1" si="293"/>
        <v>-</v>
      </c>
      <c r="S96" s="742"/>
      <c r="T96" s="742" t="str">
        <f t="shared" ca="1" si="294"/>
        <v>-</v>
      </c>
      <c r="U96" s="742" t="str">
        <f t="shared" ca="1" si="295"/>
        <v>-</v>
      </c>
      <c r="V96" s="172"/>
      <c r="W96" s="83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6.95" customHeight="1" thickBot="1">
      <c r="A97" s="737"/>
      <c r="B97" s="737"/>
      <c r="C97" s="737"/>
      <c r="D97" s="742" t="str">
        <f t="shared" si="283"/>
        <v>Local</v>
      </c>
      <c r="E97" s="742" t="str">
        <f t="shared" ca="1" si="284"/>
        <v>-</v>
      </c>
      <c r="F97" s="742" t="str">
        <f t="shared" ca="1" si="285"/>
        <v>-</v>
      </c>
      <c r="G97" s="742"/>
      <c r="H97" s="742" t="str">
        <f t="shared" ca="1" si="286"/>
        <v>-</v>
      </c>
      <c r="I97" s="742" t="str">
        <f t="shared" ca="1" si="287"/>
        <v>-</v>
      </c>
      <c r="J97" s="742"/>
      <c r="K97" s="742" t="str">
        <f t="shared" ca="1" si="288"/>
        <v>-</v>
      </c>
      <c r="L97" s="742" t="str">
        <f t="shared" ca="1" si="289"/>
        <v>-</v>
      </c>
      <c r="M97" s="742"/>
      <c r="N97" s="742" t="str">
        <f t="shared" ca="1" si="290"/>
        <v>-</v>
      </c>
      <c r="O97" s="742" t="str">
        <f t="shared" ca="1" si="291"/>
        <v>-</v>
      </c>
      <c r="P97" s="742"/>
      <c r="Q97" s="742" t="str">
        <f t="shared" ca="1" si="292"/>
        <v>-</v>
      </c>
      <c r="R97" s="742" t="str">
        <f t="shared" ca="1" si="293"/>
        <v>-</v>
      </c>
      <c r="S97" s="742"/>
      <c r="T97" s="742" t="str">
        <f t="shared" ca="1" si="294"/>
        <v>-</v>
      </c>
      <c r="U97" s="742" t="str">
        <f t="shared" ca="1" si="295"/>
        <v>-</v>
      </c>
      <c r="V97" s="172"/>
      <c r="W97" s="83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6.0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6.05" customHeight="1" thickBot="1">
      <c r="A101" s="736" t="s">
        <v>646</v>
      </c>
      <c r="B101" s="736" t="s">
        <v>649</v>
      </c>
      <c r="C101" s="737"/>
      <c r="D101" s="745" t="str">
        <f t="shared" ref="D101:D116" ca="1" si="302">IF(AND(OR(AC101="",AD101="")),"W"&amp;AH101,IF(AC101&gt;AD101,AA101,IF(AC101&lt;AD101,AF101,IF(AND(AC101=AD101,AB101=AE101),"W"&amp;AH101,IF(AND(AC101=AD101,OR(AB101="",AE101="")),"W"&amp;AH101,IF(AND(AC101=AD101,AB101&gt;AE101),AA101,AF101))))))</f>
        <v>Canadá</v>
      </c>
      <c r="E101" s="737" t="s">
        <v>0</v>
      </c>
      <c r="F101" s="737" t="s">
        <v>1</v>
      </c>
      <c r="G101" s="746" t="s">
        <v>0</v>
      </c>
      <c r="H101" s="747">
        <f t="shared" ref="H101:H112" ca="1" si="303">+SUMIF($BC$6:$BC$53,G101,$BF$6:$BF$53)</f>
        <v>12</v>
      </c>
      <c r="I101" s="742"/>
      <c r="J101" s="736">
        <v>73</v>
      </c>
      <c r="K101" s="736">
        <v>46201.75</v>
      </c>
      <c r="L101" s="736" t="s">
        <v>685</v>
      </c>
      <c r="M101" s="736" t="str">
        <f t="shared" ref="M101:M116" ca="1" si="304">+IF(OR(INDEX($H$101:$H$113,MATCH(E101,$G$101:$G$113,0))=12,$AJ$99=144),INDEX($AL$6:$AL$97,MATCH(A101,$AI$6:$AI$97,0)),A101)</f>
        <v>Sudáfrica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6"/>
      <c r="P101" s="736"/>
      <c r="Q101" s="736"/>
      <c r="R101" s="736"/>
      <c r="S101" s="736"/>
      <c r="T101" s="736"/>
      <c r="U101" s="736"/>
      <c r="V101" s="172"/>
      <c r="W101" s="83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Sudáfrica-Canadá</v>
      </c>
      <c r="DU101" s="742"/>
      <c r="DV101" s="742"/>
      <c r="DW101" s="8"/>
    </row>
    <row r="102" spans="1:127" ht="16.05" customHeight="1">
      <c r="A102" s="736" t="s">
        <v>661</v>
      </c>
      <c r="B102" s="736" t="s">
        <v>722</v>
      </c>
      <c r="C102" s="737"/>
      <c r="D102" s="745" t="str">
        <f t="shared" si="302"/>
        <v>W76</v>
      </c>
      <c r="E102" s="737" t="s">
        <v>3</v>
      </c>
      <c r="F102" s="737" t="s">
        <v>721</v>
      </c>
      <c r="G102" s="746" t="s">
        <v>1</v>
      </c>
      <c r="H102" s="747">
        <f t="shared" ca="1" si="303"/>
        <v>12</v>
      </c>
      <c r="I102" s="742"/>
      <c r="J102" s="736">
        <v>74</v>
      </c>
      <c r="K102" s="736">
        <v>46202.75</v>
      </c>
      <c r="L102" s="736" t="s">
        <v>686</v>
      </c>
      <c r="M102" s="736" t="str">
        <f t="shared" ca="1" si="304"/>
        <v>Alemania</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6"/>
      <c r="P102" s="736"/>
      <c r="Q102" s="736"/>
      <c r="R102" s="736"/>
      <c r="S102" s="736"/>
      <c r="T102" s="736"/>
      <c r="U102" s="736"/>
      <c r="V102" s="172"/>
      <c r="W102" s="836"/>
      <c r="X102" s="189">
        <f ca="1">Horarios!C102</f>
        <v>46202.791666666664</v>
      </c>
      <c r="Y102" s="190">
        <f ca="1">Horarios!C102</f>
        <v>46202.791666666664</v>
      </c>
      <c r="Z102" s="276">
        <f t="shared" ref="Z102:Z116" si="309">AH102</f>
        <v>76</v>
      </c>
      <c r="AA102" s="277" t="str">
        <f t="shared" ca="1" si="305"/>
        <v>Brasil</v>
      </c>
      <c r="AB102" s="278"/>
      <c r="AC102" s="281"/>
      <c r="AD102" s="281"/>
      <c r="AE102" s="278"/>
      <c r="AF102" s="280" t="str">
        <f t="shared" ca="1" si="306"/>
        <v>Japón</v>
      </c>
      <c r="AG102" s="417">
        <f t="shared" si="307"/>
        <v>0</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Brasil-Japón</v>
      </c>
      <c r="DU102" s="736"/>
      <c r="DV102" s="736"/>
      <c r="DW102" s="11"/>
    </row>
    <row r="103" spans="1:127" ht="16.05" customHeight="1">
      <c r="A103" s="736" t="s">
        <v>664</v>
      </c>
      <c r="B103" s="736" t="s">
        <v>656</v>
      </c>
      <c r="C103" s="737"/>
      <c r="D103" s="745" t="str">
        <f t="shared" si="302"/>
        <v>W74</v>
      </c>
      <c r="E103" s="737" t="s">
        <v>4</v>
      </c>
      <c r="F103" s="737" t="s">
        <v>2</v>
      </c>
      <c r="G103" s="746" t="s">
        <v>2</v>
      </c>
      <c r="H103" s="747">
        <f t="shared" ca="1" si="303"/>
        <v>12</v>
      </c>
      <c r="I103" s="742"/>
      <c r="J103" s="736">
        <v>75</v>
      </c>
      <c r="K103" s="736">
        <v>46202.75</v>
      </c>
      <c r="L103" s="736" t="s">
        <v>687</v>
      </c>
      <c r="M103" s="736" t="str">
        <f t="shared" ca="1" si="304"/>
        <v>Países Bajos</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6"/>
      <c r="P103" s="736"/>
      <c r="Q103" s="736"/>
      <c r="R103" s="736"/>
      <c r="S103" s="736"/>
      <c r="T103" s="736"/>
      <c r="U103" s="736"/>
      <c r="V103" s="172"/>
      <c r="W103" s="836"/>
      <c r="X103" s="189">
        <f ca="1">Horarios!C103</f>
        <v>46202.9375</v>
      </c>
      <c r="Y103" s="190">
        <f ca="1">Horarios!C103</f>
        <v>46202.9375</v>
      </c>
      <c r="Z103" s="276">
        <f t="shared" si="309"/>
        <v>74</v>
      </c>
      <c r="AA103" s="277" t="str">
        <f t="shared" ca="1" si="305"/>
        <v>Alemania</v>
      </c>
      <c r="AB103" s="278"/>
      <c r="AC103" s="281"/>
      <c r="AD103" s="281"/>
      <c r="AE103" s="278"/>
      <c r="AF103" s="280" t="str">
        <f t="shared" ca="1" si="306"/>
        <v>Paraguay</v>
      </c>
      <c r="AG103" s="417">
        <f t="shared" si="307"/>
        <v>0</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6"/>
      <c r="BC103" s="742"/>
      <c r="BD103" s="736"/>
      <c r="BE103" s="736"/>
      <c r="BF103" s="736" t="str">
        <f t="shared" ref="BF103:BF110" ca="1" si="316">IFERROR(INDEX($BC$6:$BC$53,MATCH(AL102,$BD$6:$BD$53,0)),"")</f>
        <v>K</v>
      </c>
      <c r="BG103" s="736">
        <f t="shared" ref="BG103:BG110" ca="1" si="317">COUNTIF($BF$103:$BF$110,"&lt;="&amp;BF103)</f>
        <v>7</v>
      </c>
      <c r="BH103" s="736"/>
      <c r="BI103" s="742">
        <v>1</v>
      </c>
      <c r="BJ103" s="736" t="str">
        <f t="shared" ref="BJ103:BJ110" ca="1" si="318">IFERROR(INDEX($BF$103:$BF$110,MATCH(BI103,$BG$103:$BG$110,0)),"Grupo")</f>
        <v>B</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Alemania-Paraguay</v>
      </c>
      <c r="DU103" s="736"/>
      <c r="DV103" s="736"/>
      <c r="DW103" s="11"/>
    </row>
    <row r="104" spans="1:127" ht="16.05" customHeight="1">
      <c r="A104" s="736" t="s">
        <v>651</v>
      </c>
      <c r="B104" s="736" t="s">
        <v>665</v>
      </c>
      <c r="C104" s="737"/>
      <c r="D104" s="745" t="str">
        <f t="shared" si="302"/>
        <v>W75</v>
      </c>
      <c r="E104" s="737" t="s">
        <v>2</v>
      </c>
      <c r="F104" s="737" t="s">
        <v>4</v>
      </c>
      <c r="G104" s="746" t="s">
        <v>73</v>
      </c>
      <c r="H104" s="747">
        <f t="shared" ca="1" si="303"/>
        <v>12</v>
      </c>
      <c r="I104" s="742"/>
      <c r="J104" s="736">
        <v>76</v>
      </c>
      <c r="K104" s="736">
        <v>46202.75</v>
      </c>
      <c r="L104" s="736" t="s">
        <v>688</v>
      </c>
      <c r="M104" s="736" t="str">
        <f t="shared" ca="1" si="304"/>
        <v>Brasil</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6"/>
      <c r="P104" s="736"/>
      <c r="Q104" s="736"/>
      <c r="R104" s="736"/>
      <c r="S104" s="736"/>
      <c r="T104" s="736"/>
      <c r="U104" s="736"/>
      <c r="V104" s="172"/>
      <c r="W104" s="836"/>
      <c r="X104" s="189">
        <f ca="1">Horarios!C104</f>
        <v>46203.125</v>
      </c>
      <c r="Y104" s="190">
        <f ca="1">Horarios!C104</f>
        <v>46203.125</v>
      </c>
      <c r="Z104" s="276">
        <f t="shared" si="309"/>
        <v>75</v>
      </c>
      <c r="AA104" s="277" t="str">
        <f t="shared" ca="1" si="305"/>
        <v>Países Bajos</v>
      </c>
      <c r="AB104" s="278"/>
      <c r="AC104" s="281"/>
      <c r="AD104" s="281"/>
      <c r="AE104" s="278"/>
      <c r="AF104" s="280" t="str">
        <f t="shared" ca="1" si="306"/>
        <v>Marruecos</v>
      </c>
      <c r="AG104" s="417">
        <f t="shared" si="307"/>
        <v>0</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6"/>
      <c r="BC104" s="742"/>
      <c r="BD104" s="736"/>
      <c r="BE104" s="736"/>
      <c r="BF104" s="736" t="str">
        <f t="shared" ca="1" si="316"/>
        <v>F</v>
      </c>
      <c r="BG104" s="736">
        <f t="shared" ca="1" si="317"/>
        <v>4</v>
      </c>
      <c r="BH104" s="736"/>
      <c r="BI104" s="742">
        <v>2</v>
      </c>
      <c r="BJ104" s="736" t="str">
        <f t="shared" ca="1" si="318"/>
        <v>D</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Países Bajos-Marruecos</v>
      </c>
      <c r="DU104" s="736"/>
      <c r="DV104" s="736"/>
      <c r="DW104" s="11"/>
    </row>
    <row r="105" spans="1:127" ht="16.05" customHeight="1">
      <c r="A105" s="736" t="s">
        <v>673</v>
      </c>
      <c r="B105" s="736" t="s">
        <v>723</v>
      </c>
      <c r="C105" s="737"/>
      <c r="D105" s="745" t="str">
        <f t="shared" si="302"/>
        <v>W78</v>
      </c>
      <c r="E105" s="737" t="s">
        <v>438</v>
      </c>
      <c r="F105" s="737" t="s">
        <v>721</v>
      </c>
      <c r="G105" s="746" t="s">
        <v>3</v>
      </c>
      <c r="H105" s="747">
        <f t="shared" ca="1" si="303"/>
        <v>12</v>
      </c>
      <c r="I105" s="742"/>
      <c r="J105" s="736">
        <v>77</v>
      </c>
      <c r="K105" s="736">
        <v>46203.75</v>
      </c>
      <c r="L105" s="736" t="s">
        <v>689</v>
      </c>
      <c r="M105" s="736" t="str">
        <f t="shared" ca="1" si="304"/>
        <v>Francia</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6"/>
      <c r="P105" s="736"/>
      <c r="Q105" s="736"/>
      <c r="R105" s="736"/>
      <c r="S105" s="736"/>
      <c r="T105" s="736"/>
      <c r="U105" s="736"/>
      <c r="V105" s="172"/>
      <c r="W105" s="836"/>
      <c r="X105" s="189">
        <f ca="1">Horarios!C105</f>
        <v>46203.791666666664</v>
      </c>
      <c r="Y105" s="190">
        <f ca="1">Horarios!C105</f>
        <v>46203.791666666664</v>
      </c>
      <c r="Z105" s="276">
        <f t="shared" si="309"/>
        <v>78</v>
      </c>
      <c r="AA105" s="277" t="str">
        <f t="shared" ca="1" si="305"/>
        <v>Costa de Marfil</v>
      </c>
      <c r="AB105" s="278"/>
      <c r="AC105" s="281"/>
      <c r="AD105" s="281"/>
      <c r="AE105" s="278"/>
      <c r="AF105" s="280" t="str">
        <f t="shared" ca="1" si="306"/>
        <v>Noruega</v>
      </c>
      <c r="AG105" s="417">
        <f t="shared" si="307"/>
        <v>0</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6"/>
      <c r="BC105" s="742"/>
      <c r="BD105" s="736"/>
      <c r="BE105" s="736"/>
      <c r="BF105" s="736" t="str">
        <f t="shared" ca="1" si="316"/>
        <v>L</v>
      </c>
      <c r="BG105" s="736">
        <f t="shared" ca="1" si="317"/>
        <v>8</v>
      </c>
      <c r="BH105" s="736"/>
      <c r="BI105" s="742">
        <v>3</v>
      </c>
      <c r="BJ105" s="736" t="str">
        <f t="shared" ca="1" si="318"/>
        <v>E</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Costa de Marfil-Noruega</v>
      </c>
      <c r="DU105" s="736"/>
      <c r="DV105" s="736"/>
      <c r="DW105" s="11"/>
    </row>
    <row r="106" spans="1:127" ht="16.05" customHeight="1">
      <c r="A106" s="736" t="s">
        <v>662</v>
      </c>
      <c r="B106" s="736" t="s">
        <v>674</v>
      </c>
      <c r="C106" s="737"/>
      <c r="D106" s="745" t="str">
        <f t="shared" si="302"/>
        <v>W77</v>
      </c>
      <c r="E106" s="737" t="s">
        <v>3</v>
      </c>
      <c r="F106" s="737" t="s">
        <v>438</v>
      </c>
      <c r="G106" s="746" t="s">
        <v>4</v>
      </c>
      <c r="H106" s="747">
        <f t="shared" ca="1" si="303"/>
        <v>12</v>
      </c>
      <c r="I106" s="742"/>
      <c r="J106" s="736">
        <v>78</v>
      </c>
      <c r="K106" s="736">
        <v>46203.75</v>
      </c>
      <c r="L106" s="736" t="s">
        <v>690</v>
      </c>
      <c r="M106" s="736" t="str">
        <f t="shared" ca="1" si="304"/>
        <v>Costa de Marfil</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6"/>
      <c r="P106" s="736"/>
      <c r="Q106" s="736"/>
      <c r="R106" s="736"/>
      <c r="S106" s="736"/>
      <c r="T106" s="736"/>
      <c r="U106" s="736"/>
      <c r="V106" s="172"/>
      <c r="W106" s="836"/>
      <c r="X106" s="189">
        <f ca="1">Horarios!C106</f>
        <v>46203.958333333336</v>
      </c>
      <c r="Y106" s="190">
        <f ca="1">Horarios!C106</f>
        <v>46203.958333333336</v>
      </c>
      <c r="Z106" s="276">
        <f t="shared" si="309"/>
        <v>77</v>
      </c>
      <c r="AA106" s="277" t="str">
        <f t="shared" ca="1" si="305"/>
        <v>Francia</v>
      </c>
      <c r="AB106" s="278"/>
      <c r="AC106" s="281"/>
      <c r="AD106" s="281"/>
      <c r="AE106" s="278"/>
      <c r="AF106" s="280" t="str">
        <f t="shared" ca="1" si="306"/>
        <v>Suecia</v>
      </c>
      <c r="AG106" s="417">
        <f t="shared" si="307"/>
        <v>0</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6"/>
      <c r="BC106" s="742"/>
      <c r="BD106" s="736"/>
      <c r="BE106" s="736"/>
      <c r="BF106" s="736" t="str">
        <f t="shared" ca="1" si="316"/>
        <v>E</v>
      </c>
      <c r="BG106" s="736">
        <f t="shared" ca="1" si="317"/>
        <v>3</v>
      </c>
      <c r="BH106" s="736"/>
      <c r="BI106" s="742">
        <v>4</v>
      </c>
      <c r="BJ106" s="736" t="str">
        <f t="shared" ca="1" si="318"/>
        <v>F</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Francia-Suecia</v>
      </c>
      <c r="DU106" s="736"/>
      <c r="DV106" s="736"/>
      <c r="DW106" s="11"/>
    </row>
    <row r="107" spans="1:127" ht="16.05" customHeight="1">
      <c r="A107" s="736" t="s">
        <v>645</v>
      </c>
      <c r="B107" s="736" t="s">
        <v>724</v>
      </c>
      <c r="C107" s="737"/>
      <c r="D107" s="745" t="str">
        <f t="shared" si="302"/>
        <v>W79</v>
      </c>
      <c r="E107" s="737" t="s">
        <v>0</v>
      </c>
      <c r="F107" s="737" t="s">
        <v>721</v>
      </c>
      <c r="G107" s="746" t="s">
        <v>6</v>
      </c>
      <c r="H107" s="747">
        <f t="shared" ca="1" si="303"/>
        <v>12</v>
      </c>
      <c r="I107" s="742"/>
      <c r="J107" s="736">
        <v>79</v>
      </c>
      <c r="K107" s="736">
        <v>46203.75</v>
      </c>
      <c r="L107" s="736" t="s">
        <v>691</v>
      </c>
      <c r="M107" s="736" t="str">
        <f t="shared" ca="1" si="304"/>
        <v>México</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6"/>
      <c r="P107" s="736"/>
      <c r="Q107" s="736"/>
      <c r="R107" s="736"/>
      <c r="S107" s="736"/>
      <c r="T107" s="736"/>
      <c r="U107" s="736"/>
      <c r="V107" s="172"/>
      <c r="W107" s="836"/>
      <c r="X107" s="189">
        <f ca="1">Horarios!C107</f>
        <v>46204.125</v>
      </c>
      <c r="Y107" s="190">
        <f ca="1">Horarios!C107</f>
        <v>46204.125</v>
      </c>
      <c r="Z107" s="276">
        <f t="shared" si="309"/>
        <v>79</v>
      </c>
      <c r="AA107" s="277" t="str">
        <f t="shared" ca="1" si="305"/>
        <v>México</v>
      </c>
      <c r="AB107" s="278"/>
      <c r="AC107" s="281"/>
      <c r="AD107" s="281"/>
      <c r="AE107" s="278"/>
      <c r="AF107" s="280" t="str">
        <f t="shared" ca="1" si="306"/>
        <v>Ecuador</v>
      </c>
      <c r="AG107" s="417">
        <f t="shared" si="307"/>
        <v>0</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6"/>
      <c r="BC107" s="742"/>
      <c r="BD107" s="736"/>
      <c r="BE107" s="742"/>
      <c r="BF107" s="736" t="str">
        <f t="shared" ca="1" si="316"/>
        <v>B</v>
      </c>
      <c r="BG107" s="736">
        <f t="shared" ca="1" si="317"/>
        <v>1</v>
      </c>
      <c r="BH107" s="736"/>
      <c r="BI107" s="736">
        <v>5</v>
      </c>
      <c r="BJ107" s="736" t="str">
        <f t="shared" ca="1" si="318"/>
        <v>I</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México-Ecuador</v>
      </c>
      <c r="DU107" s="736"/>
      <c r="DV107" s="736"/>
      <c r="DW107" s="11"/>
    </row>
    <row r="108" spans="1:127" ht="16.05" customHeight="1">
      <c r="A108" s="736" t="s">
        <v>682</v>
      </c>
      <c r="B108" s="736" t="s">
        <v>725</v>
      </c>
      <c r="C108" s="737"/>
      <c r="D108" s="745" t="str">
        <f t="shared" si="302"/>
        <v>W80</v>
      </c>
      <c r="E108" s="737" t="s">
        <v>238</v>
      </c>
      <c r="F108" s="737" t="s">
        <v>721</v>
      </c>
      <c r="G108" s="746" t="s">
        <v>437</v>
      </c>
      <c r="H108" s="747">
        <f t="shared" ca="1" si="303"/>
        <v>12</v>
      </c>
      <c r="I108" s="742"/>
      <c r="J108" s="736">
        <v>80</v>
      </c>
      <c r="K108" s="736">
        <v>46204.75</v>
      </c>
      <c r="L108" s="736" t="s">
        <v>692</v>
      </c>
      <c r="M108" s="736" t="str">
        <f t="shared" ca="1" si="304"/>
        <v>Inglaterra</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6"/>
      <c r="P108" s="736"/>
      <c r="Q108" s="736"/>
      <c r="R108" s="736"/>
      <c r="S108" s="736"/>
      <c r="T108" s="736"/>
      <c r="U108" s="736"/>
      <c r="V108" s="172"/>
      <c r="W108" s="836"/>
      <c r="X108" s="189">
        <f ca="1">Horarios!C108</f>
        <v>46204.75</v>
      </c>
      <c r="Y108" s="190">
        <f ca="1">Horarios!C108</f>
        <v>46204.75</v>
      </c>
      <c r="Z108" s="276">
        <f t="shared" si="309"/>
        <v>80</v>
      </c>
      <c r="AA108" s="277" t="str">
        <f t="shared" ca="1" si="305"/>
        <v>Inglaterra</v>
      </c>
      <c r="AB108" s="278"/>
      <c r="AC108" s="281"/>
      <c r="AD108" s="281"/>
      <c r="AE108" s="278"/>
      <c r="AF108" s="280" t="str">
        <f t="shared" ca="1" si="306"/>
        <v>RD Congo</v>
      </c>
      <c r="AG108" s="417">
        <f t="shared" si="307"/>
        <v>0</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6"/>
      <c r="BC108" s="736"/>
      <c r="BD108" s="736"/>
      <c r="BE108" s="742"/>
      <c r="BF108" s="736" t="str">
        <f t="shared" ca="1" si="316"/>
        <v>J</v>
      </c>
      <c r="BG108" s="736">
        <f t="shared" ca="1" si="317"/>
        <v>6</v>
      </c>
      <c r="BH108" s="736"/>
      <c r="BI108" s="736">
        <v>6</v>
      </c>
      <c r="BJ108" s="736" t="str">
        <f t="shared" ca="1" si="318"/>
        <v>J</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Inglaterra-RD Congo</v>
      </c>
      <c r="DU108" s="736"/>
      <c r="DV108" s="736"/>
      <c r="DW108" s="11"/>
    </row>
    <row r="109" spans="1:127" ht="16.05" customHeight="1">
      <c r="A109" s="736" t="s">
        <v>658</v>
      </c>
      <c r="B109" s="736" t="s">
        <v>726</v>
      </c>
      <c r="C109" s="737"/>
      <c r="D109" s="745" t="str">
        <f t="shared" si="302"/>
        <v>W82</v>
      </c>
      <c r="E109" s="737" t="s">
        <v>73</v>
      </c>
      <c r="F109" s="737" t="s">
        <v>721</v>
      </c>
      <c r="G109" s="746" t="s">
        <v>438</v>
      </c>
      <c r="H109" s="747">
        <f t="shared" ca="1" si="303"/>
        <v>12</v>
      </c>
      <c r="I109" s="742"/>
      <c r="J109" s="736">
        <v>81</v>
      </c>
      <c r="K109" s="736">
        <v>46204.75</v>
      </c>
      <c r="L109" s="736" t="s">
        <v>693</v>
      </c>
      <c r="M109" s="736" t="str">
        <f t="shared" ca="1" si="304"/>
        <v>Estados Unidos</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6"/>
      <c r="P109" s="736"/>
      <c r="Q109" s="736"/>
      <c r="R109" s="736"/>
      <c r="S109" s="736"/>
      <c r="T109" s="736"/>
      <c r="U109" s="736"/>
      <c r="V109" s="172"/>
      <c r="W109" s="836"/>
      <c r="X109" s="189">
        <f ca="1">Horarios!C109</f>
        <v>46204.916666666664</v>
      </c>
      <c r="Y109" s="190">
        <f ca="1">Horarios!C109</f>
        <v>46204.916666666664</v>
      </c>
      <c r="Z109" s="276">
        <f t="shared" si="309"/>
        <v>82</v>
      </c>
      <c r="AA109" s="277" t="str">
        <f t="shared" ca="1" si="305"/>
        <v>Bélgica</v>
      </c>
      <c r="AB109" s="278"/>
      <c r="AC109" s="281"/>
      <c r="AD109" s="281"/>
      <c r="AE109" s="278"/>
      <c r="AF109" s="280" t="str">
        <f t="shared" ca="1" si="306"/>
        <v>Senegal</v>
      </c>
      <c r="AG109" s="417">
        <f t="shared" si="307"/>
        <v>0</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6"/>
      <c r="BC109" s="736"/>
      <c r="BD109" s="736"/>
      <c r="BE109" s="742"/>
      <c r="BF109" s="736" t="str">
        <f t="shared" ca="1" si="316"/>
        <v>D</v>
      </c>
      <c r="BG109" s="736">
        <f t="shared" ca="1" si="317"/>
        <v>2</v>
      </c>
      <c r="BH109" s="736"/>
      <c r="BI109" s="736">
        <v>7</v>
      </c>
      <c r="BJ109" s="736" t="str">
        <f t="shared" ca="1" si="318"/>
        <v>K</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Bélgica-Senegal</v>
      </c>
      <c r="DU109" s="736"/>
      <c r="DV109" s="736"/>
      <c r="DW109" s="11"/>
    </row>
    <row r="110" spans="1:127" ht="16.05" customHeight="1">
      <c r="A110" s="736" t="s">
        <v>667</v>
      </c>
      <c r="B110" s="736" t="s">
        <v>727</v>
      </c>
      <c r="C110" s="737"/>
      <c r="D110" s="745" t="str">
        <f t="shared" si="302"/>
        <v>W81</v>
      </c>
      <c r="E110" s="737" t="s">
        <v>6</v>
      </c>
      <c r="F110" s="737" t="s">
        <v>721</v>
      </c>
      <c r="G110" s="746" t="s">
        <v>5</v>
      </c>
      <c r="H110" s="747">
        <f t="shared" ca="1" si="303"/>
        <v>12</v>
      </c>
      <c r="I110" s="742"/>
      <c r="J110" s="736">
        <v>82</v>
      </c>
      <c r="K110" s="736">
        <v>46204.75</v>
      </c>
      <c r="L110" s="736" t="s">
        <v>694</v>
      </c>
      <c r="M110" s="736" t="str">
        <f t="shared" ca="1" si="304"/>
        <v>Bélgica</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6"/>
      <c r="P110" s="736"/>
      <c r="Q110" s="736"/>
      <c r="R110" s="736"/>
      <c r="S110" s="736"/>
      <c r="T110" s="736"/>
      <c r="U110" s="736"/>
      <c r="V110" s="172"/>
      <c r="W110" s="836"/>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Bosnia y Herzegovina</v>
      </c>
      <c r="AG110" s="417">
        <f t="shared" si="307"/>
        <v>0</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6"/>
      <c r="BC110" s="736"/>
      <c r="BD110" s="736"/>
      <c r="BE110" s="742"/>
      <c r="BF110" s="736" t="str">
        <f t="shared" ca="1" si="316"/>
        <v>I</v>
      </c>
      <c r="BG110" s="736">
        <f t="shared" ca="1" si="317"/>
        <v>5</v>
      </c>
      <c r="BH110" s="736"/>
      <c r="BI110" s="742">
        <v>8</v>
      </c>
      <c r="BJ110" s="736" t="str">
        <f t="shared" ca="1" si="318"/>
        <v>L</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Estados Unidos-Bosnia y Herzegovina</v>
      </c>
      <c r="DU110" s="736"/>
      <c r="DV110" s="736"/>
      <c r="DW110" s="11"/>
    </row>
    <row r="111" spans="1:127" ht="16.05" customHeight="1">
      <c r="A111" s="736" t="s">
        <v>680</v>
      </c>
      <c r="B111" s="736" t="s">
        <v>683</v>
      </c>
      <c r="C111" s="737"/>
      <c r="D111" s="745" t="str">
        <f t="shared" si="302"/>
        <v>W84</v>
      </c>
      <c r="E111" s="737" t="s">
        <v>439</v>
      </c>
      <c r="F111" s="737" t="s">
        <v>238</v>
      </c>
      <c r="G111" s="746" t="s">
        <v>439</v>
      </c>
      <c r="H111" s="747">
        <f t="shared" ca="1" si="303"/>
        <v>12</v>
      </c>
      <c r="I111" s="742"/>
      <c r="J111" s="736">
        <v>83</v>
      </c>
      <c r="K111" s="736">
        <v>46205.75</v>
      </c>
      <c r="L111" s="736" t="s">
        <v>695</v>
      </c>
      <c r="M111" s="736" t="str">
        <f t="shared" ca="1" si="304"/>
        <v>Portugal</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6"/>
      <c r="P111" s="736"/>
      <c r="Q111" s="736"/>
      <c r="R111" s="736"/>
      <c r="S111" s="736"/>
      <c r="T111" s="736"/>
      <c r="U111" s="736"/>
      <c r="V111" s="172"/>
      <c r="W111" s="836"/>
      <c r="X111" s="189">
        <f ca="1">Horarios!C111</f>
        <v>46205.875</v>
      </c>
      <c r="Y111" s="190">
        <f ca="1">Horarios!C111</f>
        <v>46205.875</v>
      </c>
      <c r="Z111" s="276">
        <f t="shared" si="309"/>
        <v>84</v>
      </c>
      <c r="AA111" s="277" t="str">
        <f t="shared" ca="1" si="305"/>
        <v>España</v>
      </c>
      <c r="AB111" s="278"/>
      <c r="AC111" s="281"/>
      <c r="AD111" s="281"/>
      <c r="AE111" s="278"/>
      <c r="AF111" s="280" t="str">
        <f t="shared" ca="1" si="306"/>
        <v>Austria</v>
      </c>
      <c r="AG111" s="417">
        <f t="shared" si="307"/>
        <v>0</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España-Austria</v>
      </c>
      <c r="DU111" s="736"/>
      <c r="DV111" s="736"/>
      <c r="DW111" s="11"/>
    </row>
    <row r="112" spans="1:127" ht="16.05" customHeight="1">
      <c r="A112" s="736" t="s">
        <v>670</v>
      </c>
      <c r="B112" s="736" t="s">
        <v>677</v>
      </c>
      <c r="C112" s="737"/>
      <c r="D112" s="745" t="str">
        <f t="shared" si="302"/>
        <v>W83</v>
      </c>
      <c r="E112" s="737" t="s">
        <v>437</v>
      </c>
      <c r="F112" s="737" t="s">
        <v>5</v>
      </c>
      <c r="G112" s="746" t="s">
        <v>238</v>
      </c>
      <c r="H112" s="747">
        <f t="shared" ca="1" si="303"/>
        <v>12</v>
      </c>
      <c r="I112" s="742"/>
      <c r="J112" s="736">
        <v>84</v>
      </c>
      <c r="K112" s="736">
        <v>46205.75</v>
      </c>
      <c r="L112" s="736" t="s">
        <v>696</v>
      </c>
      <c r="M112" s="736" t="str">
        <f t="shared" ca="1" si="304"/>
        <v>España</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6"/>
      <c r="P112" s="736"/>
      <c r="Q112" s="736"/>
      <c r="R112" s="736"/>
      <c r="S112" s="736"/>
      <c r="T112" s="736"/>
      <c r="U112" s="736"/>
      <c r="V112" s="172"/>
      <c r="W112" s="836"/>
      <c r="X112" s="189">
        <f ca="1">Horarios!C112</f>
        <v>46206.041666666664</v>
      </c>
      <c r="Y112" s="190">
        <f ca="1">Horarios!C112</f>
        <v>46206.041666666664</v>
      </c>
      <c r="Z112" s="276">
        <f t="shared" si="309"/>
        <v>83</v>
      </c>
      <c r="AA112" s="277" t="str">
        <f t="shared" ca="1" si="305"/>
        <v>Portugal</v>
      </c>
      <c r="AB112" s="278"/>
      <c r="AC112" s="281"/>
      <c r="AD112" s="281"/>
      <c r="AE112" s="278"/>
      <c r="AF112" s="280" t="str">
        <f t="shared" ca="1" si="306"/>
        <v>Croacia</v>
      </c>
      <c r="AG112" s="417">
        <f t="shared" si="307"/>
        <v>0</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6"/>
      <c r="BC112" s="736"/>
      <c r="BD112" s="744"/>
      <c r="BE112" s="736"/>
      <c r="BF112" s="736"/>
      <c r="BG112" s="736"/>
      <c r="BH112" s="736"/>
      <c r="BI112" s="736" t="str">
        <f ca="1">IFERROR(CONCATENATE(BJ103,BJ104,BJ105,BJ106,BJ107,BJ108,BJ109,BJ110),"¿A/B/C/D/E/F/G/H/I/J/K/L?")</f>
        <v>BDEFIJKL</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Portugal-Croacia</v>
      </c>
      <c r="DU112" s="736"/>
      <c r="DV112" s="736"/>
      <c r="DW112" s="11"/>
    </row>
    <row r="113" spans="1:127" ht="16.05" customHeight="1" thickBot="1">
      <c r="A113" s="736" t="s">
        <v>648</v>
      </c>
      <c r="B113" s="736" t="s">
        <v>728</v>
      </c>
      <c r="C113" s="737"/>
      <c r="D113" s="745" t="str">
        <f t="shared" si="302"/>
        <v>W85</v>
      </c>
      <c r="E113" s="737" t="s">
        <v>1</v>
      </c>
      <c r="F113" s="737" t="s">
        <v>721</v>
      </c>
      <c r="G113" s="746" t="s">
        <v>721</v>
      </c>
      <c r="H113" s="747">
        <f ca="1">+IF(AJ99&lt;&gt;144,SUM(H101:H112),AJ99)</f>
        <v>144</v>
      </c>
      <c r="I113" s="742"/>
      <c r="J113" s="736">
        <v>85</v>
      </c>
      <c r="K113" s="736">
        <v>46205.75</v>
      </c>
      <c r="L113" s="736" t="s">
        <v>697</v>
      </c>
      <c r="M113" s="736" t="str">
        <f t="shared" ca="1" si="304"/>
        <v>Suiza</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6"/>
      <c r="P113" s="736"/>
      <c r="Q113" s="736"/>
      <c r="R113" s="736"/>
      <c r="S113" s="736"/>
      <c r="T113" s="736"/>
      <c r="U113" s="736"/>
      <c r="V113" s="172"/>
      <c r="W113" s="836"/>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Argelia</v>
      </c>
      <c r="AG113" s="417">
        <f t="shared" si="307"/>
        <v>0</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Suiza-Argelia</v>
      </c>
      <c r="DU113" s="736"/>
      <c r="DV113" s="736"/>
      <c r="DW113" s="11"/>
    </row>
    <row r="114" spans="1:127" ht="16.0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Argentina</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6"/>
      <c r="P114" s="736"/>
      <c r="Q114" s="736"/>
      <c r="R114" s="736"/>
      <c r="S114" s="736"/>
      <c r="T114" s="736"/>
      <c r="U114" s="736"/>
      <c r="V114" s="172"/>
      <c r="W114" s="836"/>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Australia-Egipto</v>
      </c>
      <c r="DU114" s="742"/>
      <c r="DV114" s="742"/>
      <c r="DW114" s="8"/>
    </row>
    <row r="115" spans="1:127" ht="16.0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Colombia</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6"/>
      <c r="P115" s="736"/>
      <c r="Q115" s="736"/>
      <c r="R115" s="736"/>
      <c r="S115" s="736"/>
      <c r="T115" s="736"/>
      <c r="U115" s="736"/>
      <c r="V115" s="172"/>
      <c r="W115" s="836"/>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Argentina-Cabo Verde</v>
      </c>
      <c r="DU115" s="742"/>
      <c r="DV115" s="742"/>
      <c r="DW115" s="8"/>
    </row>
    <row r="116" spans="1:127" ht="16.0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Australia</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6"/>
      <c r="P116" s="736"/>
      <c r="Q116" s="736"/>
      <c r="R116" s="736"/>
      <c r="S116" s="736"/>
      <c r="T116" s="736"/>
      <c r="U116" s="736"/>
      <c r="V116" s="172"/>
      <c r="W116" s="837"/>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Colombia-Ghana</v>
      </c>
      <c r="DU116" s="742"/>
      <c r="DV116" s="742"/>
      <c r="DW116" s="8"/>
    </row>
    <row r="117" spans="1:127" ht="16.0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3E</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6.0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3J</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6.0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6.0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3D</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ca="1" si="242"/>
        <v>Canadá-W75</v>
      </c>
      <c r="DU120" s="742"/>
      <c r="DV120" s="742"/>
      <c r="DW120" s="8"/>
    </row>
    <row r="121" spans="1:127" ht="16.0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ca="1" si="330"/>
        <v>Canadá</v>
      </c>
      <c r="N121" s="742" t="str">
        <f t="shared" si="330"/>
        <v>W75</v>
      </c>
      <c r="O121" s="742"/>
      <c r="P121" s="742"/>
      <c r="Q121" s="742"/>
      <c r="R121" s="742"/>
      <c r="S121" s="742"/>
      <c r="T121" s="742"/>
      <c r="U121" s="742"/>
      <c r="V121" s="172"/>
      <c r="W121" s="83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3I</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6.0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6.0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3L</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6.0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6.0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6.0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6.0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6.0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6.0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6.0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6.0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4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6.0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4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6.0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4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6.0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4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6.0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6.0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6.0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6.0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4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6.0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6.0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6.0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6.0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6.0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6.0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6.0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6.0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6.0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6.0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6.0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6.0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6" t="str">
        <f ca="1">IF(SUM(COUNTIF(AG4:AG97,0),COUNTIF(AG101:AG160,0)&gt;0),AL148,AL149)</f>
        <v>MUNDIAL EN CURSO</v>
      </c>
      <c r="AK151" s="807"/>
      <c r="AL151" s="807"/>
      <c r="AM151" s="807"/>
      <c r="AN151" s="807"/>
      <c r="AO151" s="807"/>
      <c r="AP151" s="807"/>
      <c r="AQ151" s="807"/>
      <c r="AR151" s="807"/>
      <c r="AS151" s="807"/>
      <c r="AT151" s="807"/>
      <c r="AU151" s="808"/>
      <c r="AV151" s="355"/>
      <c r="AW151" s="243"/>
      <c r="AX151" s="242"/>
      <c r="AY151" s="244"/>
      <c r="AZ151" s="245"/>
      <c r="BA151" s="175"/>
      <c r="DW151" s="8"/>
    </row>
    <row r="152" spans="1:127" ht="16.0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9"/>
      <c r="AK152" s="810"/>
      <c r="AL152" s="810"/>
      <c r="AM152" s="810"/>
      <c r="AN152" s="810"/>
      <c r="AO152" s="810"/>
      <c r="AP152" s="810"/>
      <c r="AQ152" s="810"/>
      <c r="AR152" s="810"/>
      <c r="AS152" s="810"/>
      <c r="AT152" s="810"/>
      <c r="AU152" s="811"/>
      <c r="AV152" s="355"/>
      <c r="AW152" s="243"/>
      <c r="AX152" s="242"/>
      <c r="AY152" s="244"/>
      <c r="AZ152" s="245"/>
      <c r="BA152" s="175"/>
      <c r="DW152" s="8"/>
    </row>
    <row r="153" spans="1:127" ht="16.0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9"/>
      <c r="AK153" s="810"/>
      <c r="AL153" s="810"/>
      <c r="AM153" s="810"/>
      <c r="AN153" s="810"/>
      <c r="AO153" s="810"/>
      <c r="AP153" s="810"/>
      <c r="AQ153" s="810"/>
      <c r="AR153" s="810"/>
      <c r="AS153" s="810"/>
      <c r="AT153" s="810"/>
      <c r="AU153" s="811"/>
      <c r="AV153" s="355"/>
      <c r="AW153" s="243"/>
      <c r="AX153" s="242"/>
      <c r="AY153" s="244"/>
      <c r="AZ153" s="245"/>
      <c r="BA153" s="175"/>
      <c r="DW153" s="8"/>
    </row>
    <row r="154" spans="1:127" ht="16.0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9"/>
      <c r="AK154" s="810"/>
      <c r="AL154" s="810"/>
      <c r="AM154" s="810"/>
      <c r="AN154" s="810"/>
      <c r="AO154" s="810"/>
      <c r="AP154" s="810"/>
      <c r="AQ154" s="810"/>
      <c r="AR154" s="810"/>
      <c r="AS154" s="810"/>
      <c r="AT154" s="810"/>
      <c r="AU154" s="811"/>
      <c r="AV154" s="355"/>
      <c r="AW154" s="243"/>
      <c r="AX154" s="242"/>
      <c r="AY154" s="244"/>
      <c r="AZ154" s="245"/>
      <c r="BA154" s="175"/>
      <c r="DW154" s="8"/>
    </row>
    <row r="155" spans="1:127" ht="16.0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8" t="str">
        <f ca="1">IF(SUM(COUNTIF(AG4:AG97,0),COUNTIF(AG101:AG160,0)&gt;0),AM148,AM149)</f>
        <v>Todavía hay emoción</v>
      </c>
      <c r="AK155" s="819"/>
      <c r="AL155" s="819"/>
      <c r="AM155" s="819"/>
      <c r="AN155" s="819"/>
      <c r="AO155" s="819"/>
      <c r="AP155" s="819"/>
      <c r="AQ155" s="819"/>
      <c r="AR155" s="819"/>
      <c r="AS155" s="819"/>
      <c r="AT155" s="819"/>
      <c r="AU155" s="820"/>
      <c r="AV155" s="355"/>
      <c r="AW155" s="243"/>
      <c r="AX155" s="242"/>
      <c r="AY155" s="244"/>
      <c r="AZ155" s="245"/>
      <c r="BA155" s="373"/>
      <c r="DW155" s="8"/>
    </row>
    <row r="156" spans="1:127" ht="16.0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8"/>
      <c r="AK156" s="819"/>
      <c r="AL156" s="819"/>
      <c r="AM156" s="819"/>
      <c r="AN156" s="819"/>
      <c r="AO156" s="819"/>
      <c r="AP156" s="819"/>
      <c r="AQ156" s="819"/>
      <c r="AR156" s="819"/>
      <c r="AS156" s="819"/>
      <c r="AT156" s="819"/>
      <c r="AU156" s="820"/>
      <c r="AV156" s="355"/>
      <c r="AW156" s="243"/>
      <c r="AX156" s="242"/>
      <c r="AY156" s="244"/>
      <c r="AZ156" s="245"/>
      <c r="BA156" s="373"/>
      <c r="DW156" s="8"/>
    </row>
    <row r="157" spans="1:127" ht="16.0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21"/>
      <c r="AK157" s="822"/>
      <c r="AL157" s="822"/>
      <c r="AM157" s="822"/>
      <c r="AN157" s="822"/>
      <c r="AO157" s="822"/>
      <c r="AP157" s="822"/>
      <c r="AQ157" s="822"/>
      <c r="AR157" s="822"/>
      <c r="AS157" s="822"/>
      <c r="AT157" s="822"/>
      <c r="AU157" s="823"/>
      <c r="AV157" s="355"/>
      <c r="AW157" s="243"/>
      <c r="AX157" s="242"/>
      <c r="AY157" s="244"/>
      <c r="AZ157" s="245"/>
      <c r="BA157" s="373"/>
      <c r="DW157" s="8"/>
    </row>
    <row r="158" spans="1:127" ht="16.0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6.0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59" zoomScaleNormal="100" workbookViewId="0">
      <selection activeCell="V178" sqref="V178"/>
      <extLst>
        <ext xmlns:xlsdti="http://schemas.microsoft.com/office/spreadsheetml/2023/showDataTypeIcons" uri="{77bfe23e-c014-4d31-8a63-9c772dbf06b6}">
          <xlsdti:showDataTypeIcons visible="0"/>
        </ext>
      </extLst>
    </sheetView>
  </sheetViews>
  <sheetFormatPr baseColWidth="10"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19" hidden="1" customWidth="1"/>
    <col min="7" max="7" width="7.77734375" style="5" hidden="1" customWidth="1"/>
    <col min="8" max="8" width="14.218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21875" style="444" hidden="1" customWidth="1"/>
    <col min="16" max="16" width="2.77734375" style="444" hidden="1" customWidth="1"/>
    <col min="17" max="17" width="3.21875" style="444" hidden="1" customWidth="1"/>
    <col min="18" max="18" width="2.77734375" style="5" customWidth="1"/>
    <col min="19" max="19" width="29.6640625" style="86" bestFit="1" customWidth="1"/>
    <col min="20" max="20" width="5.21875" style="86" customWidth="1"/>
    <col min="21" max="21" width="2.77734375" style="20" customWidth="1"/>
    <col min="22" max="22" width="29.6640625" style="86" bestFit="1" customWidth="1"/>
    <col min="23" max="23" width="5.21875" style="86" customWidth="1"/>
    <col min="24" max="24" width="2.77734375" style="20" customWidth="1"/>
    <col min="25" max="25" width="29.6640625" style="86" bestFit="1" customWidth="1"/>
    <col min="26" max="26" width="5.21875" style="86" customWidth="1"/>
    <col min="27" max="27" width="2.77734375" style="20" customWidth="1"/>
    <col min="28" max="28" width="29.6640625" style="86" bestFit="1" customWidth="1"/>
    <col min="29" max="29" width="5.21875" style="86" customWidth="1"/>
    <col min="30" max="30" width="2.77734375" style="20" customWidth="1"/>
    <col min="31" max="31" width="29.6640625" style="86" bestFit="1" customWidth="1"/>
    <col min="32" max="32" width="5.21875" style="86" customWidth="1"/>
    <col min="33" max="33" width="2.77734375" style="20" customWidth="1"/>
    <col min="34" max="34" width="29.6640625" style="86" bestFit="1" customWidth="1"/>
    <col min="35" max="35" width="5.21875" style="86" customWidth="1"/>
    <col min="36" max="36" width="2.77734375" style="20" customWidth="1"/>
    <col min="37" max="37" width="29.6640625" style="86" bestFit="1" customWidth="1"/>
    <col min="38" max="38" width="5.21875" style="86" customWidth="1"/>
    <col min="39" max="39" width="2.77734375" style="20" customWidth="1"/>
    <col min="40" max="40" width="29.6640625" style="86" bestFit="1" customWidth="1"/>
    <col min="41" max="41" width="5.21875" style="86" customWidth="1"/>
    <col min="42" max="42" width="2.77734375" style="20" customWidth="1"/>
    <col min="43" max="43" width="29.6640625" style="86" bestFit="1" customWidth="1"/>
    <col min="44" max="44" width="5.21875" style="86" customWidth="1"/>
    <col min="45" max="45" width="2.77734375" style="20" customWidth="1"/>
    <col min="46" max="46" width="29.6640625" style="86" bestFit="1" customWidth="1"/>
    <col min="47" max="47" width="5.21875" style="86" customWidth="1"/>
    <col min="48" max="48" width="2.77734375" style="20" customWidth="1"/>
    <col min="49" max="49" width="29.6640625" style="86" bestFit="1" customWidth="1"/>
    <col min="50" max="50" width="5.21875" style="86" customWidth="1"/>
    <col min="51" max="51" width="2.77734375" style="20" customWidth="1"/>
    <col min="52" max="52" width="29.6640625" style="86" bestFit="1" customWidth="1"/>
    <col min="53" max="53" width="5.21875" style="86" customWidth="1"/>
    <col min="54" max="54" width="2.77734375" style="20" customWidth="1"/>
    <col min="55" max="55" width="29.6640625" style="86" bestFit="1" customWidth="1"/>
    <col min="56" max="56" width="5.21875" style="86" customWidth="1"/>
    <col min="57" max="57" width="2.77734375" style="20" customWidth="1"/>
    <col min="58" max="58" width="29.6640625" style="86" bestFit="1" customWidth="1"/>
    <col min="59" max="59" width="5.21875" style="86" customWidth="1"/>
    <col min="60" max="60" width="2.77734375" style="20" customWidth="1"/>
    <col min="61" max="61" width="29.6640625" style="86" bestFit="1" customWidth="1"/>
    <col min="62" max="62" width="5.21875" style="86" customWidth="1"/>
    <col min="63" max="63" width="2.77734375" style="20" customWidth="1"/>
    <col min="64" max="64" width="29.6640625" style="86" bestFit="1" customWidth="1"/>
    <col min="65" max="65" width="5.21875" style="86" customWidth="1"/>
    <col min="66" max="66" width="2.77734375" style="20" customWidth="1"/>
    <col min="67" max="67" width="29.6640625" style="86" bestFit="1" customWidth="1"/>
    <col min="68" max="68" width="5.21875" style="86" customWidth="1"/>
    <col min="69" max="69" width="2.77734375" style="20" customWidth="1"/>
    <col min="70" max="70" width="29.6640625" style="86" bestFit="1" customWidth="1"/>
    <col min="71" max="71" width="5.21875" style="86" customWidth="1"/>
    <col min="72" max="72" width="2.77734375" style="20" customWidth="1"/>
    <col min="73" max="73" width="29.6640625" style="86" bestFit="1" customWidth="1"/>
    <col min="74" max="74" width="5.21875" style="86" customWidth="1"/>
    <col min="75" max="75" width="2.77734375" style="20" customWidth="1"/>
    <col min="76" max="76" width="29.6640625" style="86" bestFit="1" customWidth="1"/>
    <col min="77" max="77" width="5.21875" style="86" customWidth="1"/>
    <col min="78" max="78" width="2.77734375" style="20" customWidth="1"/>
    <col min="79" max="79" width="29.6640625" style="86" bestFit="1" customWidth="1"/>
    <col min="80" max="80" width="5.21875" style="86" customWidth="1"/>
    <col min="81" max="81" width="2.77734375" style="20" customWidth="1"/>
    <col min="82" max="82" width="29.6640625" style="86" bestFit="1" customWidth="1"/>
    <col min="83" max="83" width="5.21875" style="86" customWidth="1"/>
    <col min="84" max="84" width="2.77734375" style="20" customWidth="1"/>
    <col min="85" max="85" width="29.6640625" style="86" bestFit="1" customWidth="1"/>
    <col min="86" max="86" width="5.21875" style="86" customWidth="1"/>
    <col min="87" max="87" width="2.77734375" style="20" customWidth="1"/>
    <col min="88" max="88" width="29.6640625" style="86" bestFit="1" customWidth="1"/>
    <col min="89" max="89" width="5.21875" style="86" customWidth="1"/>
    <col min="90" max="90" width="2.77734375" style="20" customWidth="1"/>
    <col min="91" max="91" width="29.6640625" style="86" bestFit="1" customWidth="1"/>
    <col min="92" max="92" width="5.21875" style="86" customWidth="1"/>
    <col min="93" max="94" width="2.77734375" style="20" customWidth="1"/>
    <col min="95" max="1518" width="0" style="1" hidden="1" customWidth="1"/>
    <col min="1519" max="16384" width="10.777343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6</v>
      </c>
      <c r="W1" s="87"/>
      <c r="X1" s="65"/>
      <c r="Y1" s="87">
        <f ca="1">+IFERROR(RANK(Y2,OFFSET($S$2,0,0,1,$D$5*3),0),"-")</f>
        <v>3</v>
      </c>
      <c r="Z1" s="87"/>
      <c r="AA1" s="65"/>
      <c r="AB1" s="87">
        <f ca="1">+IFERROR(RANK(AB2,OFFSET($S$2,0,0,1,$D$5*3),0),"-")</f>
        <v>2</v>
      </c>
      <c r="AC1" s="87"/>
      <c r="AD1" s="65"/>
      <c r="AE1" s="87">
        <f ca="1">+IFERROR(RANK(AE2,OFFSET($S$2,0,0,1,$D$5*3),0),"-")</f>
        <v>4</v>
      </c>
      <c r="AF1" s="87"/>
      <c r="AG1" s="65"/>
      <c r="AH1" s="87">
        <f ca="1">+IFERROR(RANK(AH2,OFFSET($S$2,0,0,1,$D$5*3),0),"-")</f>
        <v>7</v>
      </c>
      <c r="AI1" s="87"/>
      <c r="AJ1" s="65"/>
      <c r="AK1" s="87">
        <f ca="1">+IFERROR(RANK(AK2,OFFSET($S$2,0,0,1,$D$5*3),0),"-")</f>
        <v>5</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2.05" customHeight="1">
      <c r="A2" s="65"/>
      <c r="B2" s="65"/>
      <c r="C2" s="65"/>
      <c r="D2" s="65"/>
      <c r="E2" s="111"/>
      <c r="F2" s="728"/>
      <c r="G2" s="49"/>
      <c r="H2" s="49"/>
      <c r="I2" s="65"/>
      <c r="J2" s="93"/>
      <c r="K2" s="25"/>
      <c r="L2" s="65"/>
      <c r="M2" s="87"/>
      <c r="N2" s="25"/>
      <c r="O2" s="25"/>
      <c r="P2" s="25"/>
      <c r="Q2" s="25"/>
      <c r="R2" s="49"/>
      <c r="S2" s="87">
        <f ca="1">S4-(COLUMN()/10000)</f>
        <v>181.99809999999999</v>
      </c>
      <c r="T2" s="87"/>
      <c r="U2" s="65"/>
      <c r="V2" s="87">
        <f t="shared" ref="V2" ca="1" si="0">V4-(COLUMN()/10000)</f>
        <v>136.99780000000001</v>
      </c>
      <c r="W2" s="87"/>
      <c r="X2" s="65"/>
      <c r="Y2" s="87">
        <f t="shared" ref="Y2" ca="1" si="1">Y4-(COLUMN()/10000)</f>
        <v>152.9975</v>
      </c>
      <c r="Z2" s="87"/>
      <c r="AA2" s="65"/>
      <c r="AB2" s="87">
        <f t="shared" ref="AB2" ca="1" si="2">AB4-(COLUMN()/10000)</f>
        <v>172.99719999999999</v>
      </c>
      <c r="AC2" s="87"/>
      <c r="AD2" s="65"/>
      <c r="AE2" s="87">
        <f t="shared" ref="AE2" ca="1" si="3">AE4-(COLUMN()/10000)</f>
        <v>147.99690000000001</v>
      </c>
      <c r="AF2" s="87"/>
      <c r="AG2" s="65"/>
      <c r="AH2" s="87">
        <f t="shared" ref="AH2" ca="1" si="4">AH4-(COLUMN()/10000)</f>
        <v>123.9966</v>
      </c>
      <c r="AI2" s="87"/>
      <c r="AJ2" s="65"/>
      <c r="AK2" s="87">
        <f t="shared" ref="AK2" ca="1" si="5">AK4-(COLUMN()/10000)</f>
        <v>146.99629999999999</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6</v>
      </c>
      <c r="W3" s="87"/>
      <c r="X3" s="65"/>
      <c r="Y3" s="87">
        <f ca="1">RANK(Y4,OFFSET($S$4,0,0,1,$D$5*3),0)</f>
        <v>3</v>
      </c>
      <c r="Z3" s="87"/>
      <c r="AA3" s="65"/>
      <c r="AB3" s="87">
        <f ca="1">RANK(AB4,OFFSET($S$4,0,0,1,$D$5*3),0)</f>
        <v>2</v>
      </c>
      <c r="AC3" s="87"/>
      <c r="AD3" s="65"/>
      <c r="AE3" s="87">
        <f ca="1">RANK(AE4,OFFSET($S$4,0,0,1,$D$5*3),0)</f>
        <v>4</v>
      </c>
      <c r="AF3" s="87"/>
      <c r="AG3" s="65"/>
      <c r="AH3" s="87">
        <f ca="1">RANK(AH4,OFFSET($S$4,0,0,1,$D$5*3),0)</f>
        <v>7</v>
      </c>
      <c r="AI3" s="87"/>
      <c r="AJ3" s="65"/>
      <c r="AK3" s="87">
        <f ca="1">RANK(AK4,OFFSET($S$4,0,0,1,$D$5*3),0)</f>
        <v>5</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182</v>
      </c>
      <c r="T4" s="68"/>
      <c r="U4" s="65"/>
      <c r="V4" s="67">
        <f ca="1">SUM(W6:W259)/2</f>
        <v>137</v>
      </c>
      <c r="W4" s="68"/>
      <c r="X4" s="65"/>
      <c r="Y4" s="67">
        <f ca="1">SUM(Z6:Z259)/2</f>
        <v>153</v>
      </c>
      <c r="Z4" s="68"/>
      <c r="AA4" s="65"/>
      <c r="AB4" s="67">
        <f ca="1">SUM(AC6:AC259)/2</f>
        <v>173</v>
      </c>
      <c r="AC4" s="68"/>
      <c r="AD4" s="65"/>
      <c r="AE4" s="67">
        <f ca="1">SUM(AF6:AF259)/2</f>
        <v>148</v>
      </c>
      <c r="AF4" s="68"/>
      <c r="AG4" s="65"/>
      <c r="AH4" s="67">
        <f ca="1">SUM(AI6:AI259)/2</f>
        <v>124</v>
      </c>
      <c r="AI4" s="68"/>
      <c r="AJ4" s="65"/>
      <c r="AK4" s="67">
        <f ca="1">SUM(AL6:AL259)/2</f>
        <v>147</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6" thickBot="1">
      <c r="A5" s="49"/>
      <c r="B5" s="49"/>
      <c r="C5" s="51" t="str">
        <f>Idiomas!D299&amp;" -&gt;"</f>
        <v>Selecciona el Nº de Jugadores -&gt;</v>
      </c>
      <c r="D5" s="452">
        <v>7</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1978</v>
      </c>
      <c r="T5" s="70"/>
      <c r="U5" s="65">
        <v>1</v>
      </c>
      <c r="V5" s="69" t="s">
        <v>1965</v>
      </c>
      <c r="W5" s="70"/>
      <c r="X5" s="65">
        <v>2</v>
      </c>
      <c r="Y5" s="69" t="s">
        <v>1966</v>
      </c>
      <c r="Z5" s="70"/>
      <c r="AA5" s="65">
        <v>3</v>
      </c>
      <c r="AB5" s="69" t="s">
        <v>1940</v>
      </c>
      <c r="AC5" s="70"/>
      <c r="AD5" s="65">
        <v>4</v>
      </c>
      <c r="AE5" s="69" t="s">
        <v>1941</v>
      </c>
      <c r="AF5" s="70"/>
      <c r="AG5" s="65">
        <v>5</v>
      </c>
      <c r="AH5" s="69" t="s">
        <v>1942</v>
      </c>
      <c r="AI5" s="70"/>
      <c r="AJ5" s="65">
        <v>6</v>
      </c>
      <c r="AK5" s="69" t="s">
        <v>1977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1943</v>
      </c>
      <c r="T6" s="73">
        <f>IFERROR(IF($M6=S6,($D$8+$D$9+$D$10)*$I6,IF($N6=LEFT(S6,1),($D$8+MAX(0,IF($D$50=1,$D$9*(1-(ABS($Q6-ABS(VALUE(MID(S6,FIND("|",S6)+1,FIND("-",S6)-FIND("|",S6)-1))-VALUE(MID(S6,FIND("-",S6)+1,10)))))*$D$50),$D$9*(1-(IF($N6="X",ABS($O6-VALUE(MID(S6,FIND("|",S6)+1,FIND("-",S6)-FIND("|",S6)-1))),ABS($Q6-ABS(VALUE(MID(S6,FIND("|",S6)+1,FIND("-",S6)-FIND("|",S6)-1))-VALUE(MID(S6,FIND("-",S6)+1,10)))))*$D$50)))))*$I6,0)),0)</f>
        <v>4</v>
      </c>
      <c r="U6" s="111"/>
      <c r="V6" s="72" t="s">
        <v>1943</v>
      </c>
      <c r="W6" s="73">
        <f>IFERROR(IF($M6=V6,($D$8+$D$9+$D$10)*$I6,IF($N6=LEFT(V6,1),($D$8+MAX(0,IF($D$50=1,$D$9*(1-(ABS($Q6-ABS(VALUE(MID(V6,FIND("|",V6)+1,FIND("-",V6)-FIND("|",V6)-1))-VALUE(MID(V6,FIND("-",V6)+1,10)))))*$D$50),$D$9*(1-(IF($N6="X",ABS($O6-VALUE(MID(V6,FIND("|",V6)+1,FIND("-",V6)-FIND("|",V6)-1))),ABS($Q6-ABS(VALUE(MID(V6,FIND("|",V6)+1,FIND("-",V6)-FIND("|",V6)-1))-VALUE(MID(V6,FIND("-",V6)+1,10)))))*$D$50)))))*$I6,0)),0)</f>
        <v>4</v>
      </c>
      <c r="X6" s="111"/>
      <c r="Y6" s="72" t="s">
        <v>1951</v>
      </c>
      <c r="Z6" s="73">
        <f t="shared" ref="Z6" si="24">IFERROR(IF($M6=Y6,($D$8+$D$9+$D$10)*$I6,IF($N6=LEFT(Y6,1),($D$8+MAX(0,IF($D$50=1,$D$9*(1-(ABS($Q6-ABS(VALUE(MID(Y6,FIND("|",Y6)+1,FIND("-",Y6)-FIND("|",Y6)-1))-VALUE(MID(Y6,FIND("-",Y6)+1,10)))))*$D$50),$D$9*(1-(IF($N6="X",ABS($O6-VALUE(MID(Y6,FIND("|",Y6)+1,FIND("-",Y6)-FIND("|",Y6)-1))),ABS($Q6-ABS(VALUE(MID(Y6,FIND("|",Y6)+1,FIND("-",Y6)-FIND("|",Y6)-1))-VALUE(MID(Y6,FIND("-",Y6)+1,10)))))*$D$50)))))*$I6,0)),0)</f>
        <v>1</v>
      </c>
      <c r="AA6" s="111"/>
      <c r="AB6" s="72" t="s">
        <v>1943</v>
      </c>
      <c r="AC6" s="73">
        <f t="shared" ref="AC6" si="25">IFERROR(IF($M6=AB6,($D$8+$D$9+$D$10)*$I6,IF($N6=LEFT(AB6,1),($D$8+MAX(0,IF($D$50=1,$D$9*(1-(ABS($Q6-ABS(VALUE(MID(AB6,FIND("|",AB6)+1,FIND("-",AB6)-FIND("|",AB6)-1))-VALUE(MID(AB6,FIND("-",AB6)+1,10)))))*$D$50),$D$9*(1-(IF($N6="X",ABS($O6-VALUE(MID(AB6,FIND("|",AB6)+1,FIND("-",AB6)-FIND("|",AB6)-1))),ABS($Q6-ABS(VALUE(MID(AB6,FIND("|",AB6)+1,FIND("-",AB6)-FIND("|",AB6)-1))-VALUE(MID(AB6,FIND("-",AB6)+1,10)))))*$D$50)))))*$I6,0)),0)</f>
        <v>4</v>
      </c>
      <c r="AD6" s="111"/>
      <c r="AE6" s="72" t="s">
        <v>1944</v>
      </c>
      <c r="AF6" s="73">
        <f t="shared" ref="AF6" si="26">IFERROR(IF($M6=AE6,($D$8+$D$9+$D$10)*$I6,IF($N6=LEFT(AE6,1),($D$8+MAX(0,IF($D$50=1,$D$9*(1-(ABS($Q6-ABS(VALUE(MID(AE6,FIND("|",AE6)+1,FIND("-",AE6)-FIND("|",AE6)-1))-VALUE(MID(AE6,FIND("-",AE6)+1,10)))))*$D$50),$D$9*(1-(IF($N6="X",ABS($O6-VALUE(MID(AE6,FIND("|",AE6)+1,FIND("-",AE6)-FIND("|",AE6)-1))),ABS($Q6-ABS(VALUE(MID(AE6,FIND("|",AE6)+1,FIND("-",AE6)-FIND("|",AE6)-1))-VALUE(MID(AE6,FIND("-",AE6)+1,10)))))*$D$50)))))*$I6,0)),0)</f>
        <v>1</v>
      </c>
      <c r="AG6" s="111"/>
      <c r="AH6" s="72" t="s">
        <v>1950</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1943</v>
      </c>
      <c r="AL6" s="73">
        <f t="shared" ref="AL6" si="28">IFERROR(IF($M6=AK6,($D$8+$D$9+$D$10)*$I6,IF($N6=LEFT(AK6,1),($D$8+MAX(0,IF($D$50=1,$D$9*(1-(ABS($Q6-ABS(VALUE(MID(AK6,FIND("|",AK6)+1,FIND("-",AK6)-FIND("|",AK6)-1))-VALUE(MID(AK6,FIND("-",AK6)+1,10)))))*$D$50),$D$9*(1-(IF($N6="X",ABS($O6-VALUE(MID(AK6,FIND("|",AK6)+1,FIND("-",AK6)-FIND("|",AK6)-1))),ABS($Q6-ABS(VALUE(MID(AK6,FIND("|",AK6)+1,FIND("-",AK6)-FIND("|",AK6)-1))-VALUE(MID(AK6,FIND("-",AK6)+1,10)))))*$D$50)))))*$I6,0)),0)</f>
        <v>4</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1944</v>
      </c>
      <c r="T7" s="73">
        <f t="shared" ref="T7:T70" si="48">IFERROR(IF($M7=S7,($D$8+$D$9+$D$10)*$I7,IF($N7=LEFT(S7,1),($D$8+MAX(0,IF($D$50=1,$D$9*(1-(ABS($Q7-ABS(VALUE(MID(S7,FIND("|",S7)+1,FIND("-",S7)-FIND("|",S7)-1))-VALUE(MID(S7,FIND("-",S7)+1,10)))))*$D$50),$D$9*(1-(IF($N7="X",ABS($O7-VALUE(MID(S7,FIND("|",S7)+1,FIND("-",S7)-FIND("|",S7)-1))),ABS($Q7-ABS(VALUE(MID(S7,FIND("|",S7)+1,FIND("-",S7)-FIND("|",S7)-1))-VALUE(MID(S7,FIND("-",S7)+1,10)))))*$D$50)))))*$I7,0)),0)</f>
        <v>4</v>
      </c>
      <c r="U7" s="111"/>
      <c r="V7" s="72" t="s">
        <v>1949</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1946</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1949</v>
      </c>
      <c r="AC7" s="73">
        <f t="shared" si="50"/>
        <v>0</v>
      </c>
      <c r="AD7" s="111"/>
      <c r="AE7" s="72" t="s">
        <v>1948</v>
      </c>
      <c r="AF7" s="73">
        <f t="shared" si="50"/>
        <v>0</v>
      </c>
      <c r="AG7" s="111"/>
      <c r="AH7" s="72" t="s">
        <v>1951</v>
      </c>
      <c r="AI7" s="73">
        <f t="shared" si="50"/>
        <v>2</v>
      </c>
      <c r="AJ7" s="111"/>
      <c r="AK7" s="72" t="s">
        <v>1951</v>
      </c>
      <c r="AL7" s="73">
        <f t="shared" si="50"/>
        <v>2</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1</v>
      </c>
      <c r="E8" s="111"/>
      <c r="F8" s="445">
        <f t="shared" si="4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1949</v>
      </c>
      <c r="Z8" s="73">
        <f t="shared" si="50"/>
        <v>4</v>
      </c>
      <c r="AA8" s="65"/>
      <c r="AB8" s="74" t="s">
        <v>1949</v>
      </c>
      <c r="AC8" s="73">
        <f t="shared" si="50"/>
        <v>4</v>
      </c>
      <c r="AD8" s="65"/>
      <c r="AE8" s="74" t="s">
        <v>1949</v>
      </c>
      <c r="AF8" s="73">
        <f t="shared" si="50"/>
        <v>4</v>
      </c>
      <c r="AG8" s="65"/>
      <c r="AH8" s="74" t="s">
        <v>1943</v>
      </c>
      <c r="AI8" s="73">
        <f t="shared" si="50"/>
        <v>0</v>
      </c>
      <c r="AJ8" s="65"/>
      <c r="AK8" s="74" t="s">
        <v>1951</v>
      </c>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1</v>
      </c>
      <c r="E9" s="111"/>
      <c r="F9" s="445">
        <f t="shared" si="4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1956</v>
      </c>
      <c r="W9" s="73">
        <f t="shared" si="49"/>
        <v>0</v>
      </c>
      <c r="X9" s="65"/>
      <c r="Y9" s="75" t="s">
        <v>1945</v>
      </c>
      <c r="Z9" s="73">
        <f t="shared" si="50"/>
        <v>0</v>
      </c>
      <c r="AA9" s="65"/>
      <c r="AB9" s="75" t="s">
        <v>1945</v>
      </c>
      <c r="AC9" s="73">
        <f t="shared" si="50"/>
        <v>0</v>
      </c>
      <c r="AD9" s="65"/>
      <c r="AE9" s="75" t="s">
        <v>1945</v>
      </c>
      <c r="AF9" s="73">
        <f t="shared" si="50"/>
        <v>0</v>
      </c>
      <c r="AG9" s="65"/>
      <c r="AH9" s="75" t="s">
        <v>1955</v>
      </c>
      <c r="AI9" s="73">
        <f t="shared" si="50"/>
        <v>0</v>
      </c>
      <c r="AJ9" s="65"/>
      <c r="AK9" s="75" t="s">
        <v>1945</v>
      </c>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2</v>
      </c>
      <c r="E10" s="111"/>
      <c r="F10" s="445">
        <f t="shared" si="4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1944</v>
      </c>
      <c r="T10" s="73">
        <f t="shared" si="48"/>
        <v>0</v>
      </c>
      <c r="U10" s="65"/>
      <c r="V10" s="74" t="s">
        <v>1943</v>
      </c>
      <c r="W10" s="73">
        <f t="shared" si="49"/>
        <v>0</v>
      </c>
      <c r="X10" s="65"/>
      <c r="Y10" s="74" t="s">
        <v>1949</v>
      </c>
      <c r="Z10" s="73">
        <f t="shared" si="50"/>
        <v>4</v>
      </c>
      <c r="AA10" s="65"/>
      <c r="AB10" s="74" t="s">
        <v>1944</v>
      </c>
      <c r="AC10" s="73">
        <f t="shared" si="50"/>
        <v>0</v>
      </c>
      <c r="AD10" s="65"/>
      <c r="AE10" s="74" t="s">
        <v>1967</v>
      </c>
      <c r="AF10" s="73">
        <f t="shared" si="50"/>
        <v>2</v>
      </c>
      <c r="AG10" s="65"/>
      <c r="AH10" s="74" t="s">
        <v>1944</v>
      </c>
      <c r="AI10" s="73">
        <f t="shared" si="50"/>
        <v>0</v>
      </c>
      <c r="AJ10" s="65"/>
      <c r="AK10" s="74" t="s">
        <v>1944</v>
      </c>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2</v>
      </c>
      <c r="E11" s="111"/>
      <c r="F11" s="445">
        <f t="shared" si="4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1</v>
      </c>
      <c r="U11" s="65"/>
      <c r="V11" s="74" t="s">
        <v>1951</v>
      </c>
      <c r="W11" s="73">
        <f t="shared" si="49"/>
        <v>0</v>
      </c>
      <c r="X11" s="65"/>
      <c r="Y11" s="74" t="s">
        <v>1945</v>
      </c>
      <c r="Z11" s="73">
        <f t="shared" si="50"/>
        <v>1</v>
      </c>
      <c r="AA11" s="65"/>
      <c r="AB11" s="74" t="s">
        <v>1955</v>
      </c>
      <c r="AC11" s="73">
        <f t="shared" si="50"/>
        <v>1</v>
      </c>
      <c r="AD11" s="65"/>
      <c r="AE11" s="74" t="s">
        <v>1945</v>
      </c>
      <c r="AF11" s="73">
        <f t="shared" si="50"/>
        <v>1</v>
      </c>
      <c r="AG11" s="65"/>
      <c r="AH11" s="74" t="s">
        <v>1945</v>
      </c>
      <c r="AI11" s="73">
        <f t="shared" si="50"/>
        <v>1</v>
      </c>
      <c r="AJ11" s="65"/>
      <c r="AK11" s="74" t="s">
        <v>1955</v>
      </c>
      <c r="AL11" s="73">
        <f t="shared" si="50"/>
        <v>1</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2</v>
      </c>
      <c r="E12" s="111"/>
      <c r="F12" s="445">
        <f t="shared" si="4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1943</v>
      </c>
      <c r="T12" s="73">
        <f t="shared" si="48"/>
        <v>1</v>
      </c>
      <c r="U12" s="65"/>
      <c r="V12" s="74" t="s">
        <v>1944</v>
      </c>
      <c r="W12" s="73">
        <f t="shared" si="49"/>
        <v>1</v>
      </c>
      <c r="X12" s="65"/>
      <c r="Y12" s="74" t="s">
        <v>1951</v>
      </c>
      <c r="Z12" s="73">
        <f t="shared" si="50"/>
        <v>1</v>
      </c>
      <c r="AA12" s="65"/>
      <c r="AB12" s="74" t="s">
        <v>1948</v>
      </c>
      <c r="AC12" s="73">
        <f t="shared" si="50"/>
        <v>0</v>
      </c>
      <c r="AD12" s="65"/>
      <c r="AE12" s="74" t="s">
        <v>1949</v>
      </c>
      <c r="AF12" s="73">
        <f t="shared" si="50"/>
        <v>0</v>
      </c>
      <c r="AG12" s="65"/>
      <c r="AH12" s="74" t="s">
        <v>1949</v>
      </c>
      <c r="AI12" s="73">
        <f t="shared" si="50"/>
        <v>0</v>
      </c>
      <c r="AJ12" s="65"/>
      <c r="AK12" s="74" t="s">
        <v>1951</v>
      </c>
      <c r="AL12" s="73">
        <f t="shared" si="50"/>
        <v>1</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1</v>
      </c>
      <c r="E13" s="111"/>
      <c r="F13" s="445">
        <f t="shared" si="4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1946</v>
      </c>
      <c r="T13" s="73">
        <f t="shared" si="48"/>
        <v>0</v>
      </c>
      <c r="U13" s="65"/>
      <c r="V13" s="74" t="s">
        <v>1946</v>
      </c>
      <c r="W13" s="73">
        <f t="shared" si="49"/>
        <v>0</v>
      </c>
      <c r="X13" s="65"/>
      <c r="Y13" s="74" t="s">
        <v>1957</v>
      </c>
      <c r="Z13" s="73">
        <f t="shared" si="50"/>
        <v>0</v>
      </c>
      <c r="AA13" s="65"/>
      <c r="AB13" s="74" t="s">
        <v>1945</v>
      </c>
      <c r="AC13" s="73">
        <f t="shared" si="50"/>
        <v>0</v>
      </c>
      <c r="AD13" s="65"/>
      <c r="AE13" s="74" t="s">
        <v>1957</v>
      </c>
      <c r="AF13" s="73">
        <f t="shared" si="50"/>
        <v>0</v>
      </c>
      <c r="AG13" s="65"/>
      <c r="AH13" s="74" t="s">
        <v>1971</v>
      </c>
      <c r="AI13" s="73">
        <f t="shared" si="50"/>
        <v>0</v>
      </c>
      <c r="AJ13" s="65"/>
      <c r="AK13" s="74" t="s">
        <v>1945</v>
      </c>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1954</v>
      </c>
      <c r="W14" s="73">
        <f t="shared" si="49"/>
        <v>1</v>
      </c>
      <c r="X14" s="65"/>
      <c r="Y14" s="74" t="s">
        <v>1943</v>
      </c>
      <c r="Z14" s="73">
        <f t="shared" si="50"/>
        <v>1</v>
      </c>
      <c r="AA14" s="65"/>
      <c r="AB14" s="74" t="s">
        <v>1954</v>
      </c>
      <c r="AC14" s="73">
        <f t="shared" si="50"/>
        <v>1</v>
      </c>
      <c r="AD14" s="65"/>
      <c r="AE14" s="74" t="s">
        <v>1968</v>
      </c>
      <c r="AF14" s="73">
        <f t="shared" si="50"/>
        <v>1</v>
      </c>
      <c r="AG14" s="65"/>
      <c r="AH14" s="74" t="s">
        <v>1953</v>
      </c>
      <c r="AI14" s="73">
        <f t="shared" si="50"/>
        <v>1</v>
      </c>
      <c r="AJ14" s="65"/>
      <c r="AK14" s="74" t="s">
        <v>1953</v>
      </c>
      <c r="AL14" s="73">
        <f t="shared" si="50"/>
        <v>1</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1</v>
      </c>
      <c r="E15" s="111"/>
      <c r="F15" s="445">
        <f t="shared" si="4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0</v>
      </c>
      <c r="U15" s="65"/>
      <c r="V15" s="74" t="s">
        <v>1949</v>
      </c>
      <c r="W15" s="73">
        <f t="shared" si="49"/>
        <v>0</v>
      </c>
      <c r="X15" s="65"/>
      <c r="Y15" s="74" t="s">
        <v>1956</v>
      </c>
      <c r="Z15" s="73">
        <f t="shared" si="50"/>
        <v>0</v>
      </c>
      <c r="AA15" s="65"/>
      <c r="AB15" s="74" t="s">
        <v>1956</v>
      </c>
      <c r="AC15" s="73">
        <f t="shared" si="50"/>
        <v>0</v>
      </c>
      <c r="AD15" s="65"/>
      <c r="AE15" s="74" t="s">
        <v>1951</v>
      </c>
      <c r="AF15" s="73">
        <f t="shared" si="50"/>
        <v>4</v>
      </c>
      <c r="AG15" s="65"/>
      <c r="AH15" s="74" t="s">
        <v>1949</v>
      </c>
      <c r="AI15" s="73">
        <f t="shared" si="50"/>
        <v>0</v>
      </c>
      <c r="AJ15" s="65"/>
      <c r="AK15" s="74" t="s">
        <v>1956</v>
      </c>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2</v>
      </c>
      <c r="E16" s="111"/>
      <c r="F16" s="445">
        <f t="shared" si="4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1949</v>
      </c>
      <c r="T16" s="73">
        <f t="shared" si="48"/>
        <v>2</v>
      </c>
      <c r="U16" s="65"/>
      <c r="V16" s="74" t="s">
        <v>1943</v>
      </c>
      <c r="W16" s="73">
        <f t="shared" si="49"/>
        <v>0</v>
      </c>
      <c r="X16" s="65"/>
      <c r="Y16" s="74" t="s">
        <v>1943</v>
      </c>
      <c r="Z16" s="73">
        <f t="shared" si="50"/>
        <v>0</v>
      </c>
      <c r="AA16" s="65"/>
      <c r="AB16" s="74" t="s">
        <v>1949</v>
      </c>
      <c r="AC16" s="73">
        <f t="shared" si="50"/>
        <v>2</v>
      </c>
      <c r="AD16" s="65"/>
      <c r="AE16" s="74" t="s">
        <v>1946</v>
      </c>
      <c r="AF16" s="73">
        <f t="shared" si="50"/>
        <v>0</v>
      </c>
      <c r="AG16" s="65"/>
      <c r="AH16" s="74" t="s">
        <v>1972</v>
      </c>
      <c r="AI16" s="73">
        <f t="shared" si="50"/>
        <v>0</v>
      </c>
      <c r="AJ16" s="65"/>
      <c r="AK16" s="74" t="s">
        <v>1951</v>
      </c>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2</v>
      </c>
      <c r="E17" s="111"/>
      <c r="F17" s="445">
        <f t="shared" si="4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1944</v>
      </c>
      <c r="T17" s="73">
        <f t="shared" si="48"/>
        <v>1</v>
      </c>
      <c r="U17" s="65"/>
      <c r="V17" s="74" t="s">
        <v>1951</v>
      </c>
      <c r="W17" s="73">
        <f t="shared" si="49"/>
        <v>1</v>
      </c>
      <c r="X17" s="65"/>
      <c r="Y17" s="74" t="s">
        <v>1943</v>
      </c>
      <c r="Z17" s="73">
        <f t="shared" si="50"/>
        <v>1</v>
      </c>
      <c r="AA17" s="65"/>
      <c r="AB17" s="74" t="s">
        <v>1949</v>
      </c>
      <c r="AC17" s="73">
        <f t="shared" si="50"/>
        <v>0</v>
      </c>
      <c r="AD17" s="65"/>
      <c r="AE17" s="74" t="s">
        <v>1943</v>
      </c>
      <c r="AF17" s="73">
        <f t="shared" si="50"/>
        <v>1</v>
      </c>
      <c r="AG17" s="65"/>
      <c r="AH17" s="74" t="s">
        <v>1951</v>
      </c>
      <c r="AI17" s="73">
        <f t="shared" si="50"/>
        <v>1</v>
      </c>
      <c r="AJ17" s="65"/>
      <c r="AK17" s="74" t="s">
        <v>1944</v>
      </c>
      <c r="AL17" s="73">
        <f t="shared" si="50"/>
        <v>1</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4</v>
      </c>
      <c r="E18" s="111"/>
      <c r="F18" s="445">
        <f t="shared" si="4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1950</v>
      </c>
      <c r="T18" s="73">
        <f t="shared" si="48"/>
        <v>0</v>
      </c>
      <c r="U18" s="65"/>
      <c r="V18" s="74" t="s">
        <v>1943</v>
      </c>
      <c r="W18" s="73">
        <f t="shared" si="49"/>
        <v>0</v>
      </c>
      <c r="X18" s="65"/>
      <c r="Y18" s="74" t="s">
        <v>1950</v>
      </c>
      <c r="Z18" s="73">
        <f t="shared" si="50"/>
        <v>0</v>
      </c>
      <c r="AA18" s="65"/>
      <c r="AB18" s="74" t="s">
        <v>1943</v>
      </c>
      <c r="AC18" s="73">
        <f t="shared" si="50"/>
        <v>0</v>
      </c>
      <c r="AD18" s="65"/>
      <c r="AE18" s="74" t="s">
        <v>1944</v>
      </c>
      <c r="AF18" s="73">
        <f t="shared" si="50"/>
        <v>0</v>
      </c>
      <c r="AG18" s="65"/>
      <c r="AH18" s="74" t="s">
        <v>1948</v>
      </c>
      <c r="AI18" s="73">
        <f t="shared" si="50"/>
        <v>2</v>
      </c>
      <c r="AJ18" s="65"/>
      <c r="AK18" s="74" t="s">
        <v>1951</v>
      </c>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3</v>
      </c>
      <c r="E19" s="111"/>
      <c r="F19" s="445">
        <f t="shared" si="4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1951</v>
      </c>
      <c r="T19" s="73">
        <f t="shared" si="48"/>
        <v>0</v>
      </c>
      <c r="U19" s="65"/>
      <c r="V19" s="74" t="s">
        <v>1951</v>
      </c>
      <c r="W19" s="73">
        <f t="shared" si="49"/>
        <v>0</v>
      </c>
      <c r="X19" s="65"/>
      <c r="Y19" s="74" t="s">
        <v>1943</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1951</v>
      </c>
      <c r="AC19" s="73">
        <f t="shared" si="53"/>
        <v>0</v>
      </c>
      <c r="AD19" s="65"/>
      <c r="AE19" s="74" t="s">
        <v>1948</v>
      </c>
      <c r="AF19" s="73">
        <f t="shared" si="53"/>
        <v>2</v>
      </c>
      <c r="AG19" s="65"/>
      <c r="AH19" s="74" t="s">
        <v>1948</v>
      </c>
      <c r="AI19" s="73">
        <f t="shared" si="53"/>
        <v>2</v>
      </c>
      <c r="AJ19" s="65"/>
      <c r="AK19" s="74" t="s">
        <v>1948</v>
      </c>
      <c r="AL19" s="73">
        <f t="shared" si="53"/>
        <v>2</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0</v>
      </c>
      <c r="E20" s="111"/>
      <c r="F20" s="445">
        <f t="shared" si="4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1952</v>
      </c>
      <c r="T20" s="73">
        <f t="shared" si="48"/>
        <v>0</v>
      </c>
      <c r="U20" s="65"/>
      <c r="V20" s="74" t="s">
        <v>1953</v>
      </c>
      <c r="W20" s="73">
        <f t="shared" si="49"/>
        <v>0</v>
      </c>
      <c r="X20" s="65"/>
      <c r="Y20" s="74" t="s">
        <v>1953</v>
      </c>
      <c r="Z20" s="73">
        <f t="shared" si="53"/>
        <v>0</v>
      </c>
      <c r="AA20" s="65"/>
      <c r="AB20" s="74" t="s">
        <v>1954</v>
      </c>
      <c r="AC20" s="73">
        <f t="shared" si="53"/>
        <v>0</v>
      </c>
      <c r="AD20" s="65"/>
      <c r="AE20" s="74" t="s">
        <v>1969</v>
      </c>
      <c r="AF20" s="73">
        <f t="shared" si="53"/>
        <v>0</v>
      </c>
      <c r="AG20" s="65"/>
      <c r="AH20" s="74" t="s">
        <v>1973</v>
      </c>
      <c r="AI20" s="73">
        <f t="shared" si="53"/>
        <v>0</v>
      </c>
      <c r="AJ20" s="65"/>
      <c r="AK20" s="74" t="s">
        <v>1953</v>
      </c>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1945</v>
      </c>
      <c r="W21" s="73">
        <f t="shared" si="49"/>
        <v>0</v>
      </c>
      <c r="X21" s="65"/>
      <c r="Y21" s="74" t="s">
        <v>1956</v>
      </c>
      <c r="Z21" s="73">
        <f t="shared" si="53"/>
        <v>0</v>
      </c>
      <c r="AA21" s="65"/>
      <c r="AB21" s="74" t="s">
        <v>1945</v>
      </c>
      <c r="AC21" s="73">
        <f t="shared" si="53"/>
        <v>0</v>
      </c>
      <c r="AD21" s="65"/>
      <c r="AE21" s="74" t="s">
        <v>1949</v>
      </c>
      <c r="AF21" s="73">
        <f t="shared" si="53"/>
        <v>4</v>
      </c>
      <c r="AG21" s="65"/>
      <c r="AH21" s="74" t="s">
        <v>1946</v>
      </c>
      <c r="AI21" s="73">
        <f t="shared" si="53"/>
        <v>0</v>
      </c>
      <c r="AJ21" s="65"/>
      <c r="AK21" s="74" t="s">
        <v>1945</v>
      </c>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0</v>
      </c>
      <c r="E22" s="111"/>
      <c r="F22" s="445">
        <f t="shared" si="4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4</v>
      </c>
      <c r="U22" s="65"/>
      <c r="V22" s="74" t="s">
        <v>1943</v>
      </c>
      <c r="W22" s="73">
        <f t="shared" si="49"/>
        <v>2</v>
      </c>
      <c r="X22" s="65"/>
      <c r="Y22" s="74" t="s">
        <v>1944</v>
      </c>
      <c r="Z22" s="73">
        <f t="shared" si="53"/>
        <v>1</v>
      </c>
      <c r="AA22" s="65"/>
      <c r="AB22" s="74" t="s">
        <v>1950</v>
      </c>
      <c r="AC22" s="73">
        <f t="shared" si="53"/>
        <v>4</v>
      </c>
      <c r="AD22" s="65"/>
      <c r="AE22" s="74" t="s">
        <v>1944</v>
      </c>
      <c r="AF22" s="73">
        <f t="shared" si="53"/>
        <v>1</v>
      </c>
      <c r="AG22" s="65"/>
      <c r="AH22" s="74" t="s">
        <v>1944</v>
      </c>
      <c r="AI22" s="73">
        <f t="shared" si="53"/>
        <v>1</v>
      </c>
      <c r="AJ22" s="65"/>
      <c r="AK22" s="74" t="s">
        <v>1949</v>
      </c>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6</v>
      </c>
      <c r="E23" s="111"/>
      <c r="F23" s="445">
        <f t="shared" si="4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1945</v>
      </c>
      <c r="T23" s="73">
        <f t="shared" si="48"/>
        <v>1</v>
      </c>
      <c r="U23" s="65"/>
      <c r="V23" s="74" t="s">
        <v>1946</v>
      </c>
      <c r="W23" s="73">
        <f t="shared" si="49"/>
        <v>1</v>
      </c>
      <c r="X23" s="65"/>
      <c r="Y23" s="74" t="s">
        <v>1945</v>
      </c>
      <c r="Z23" s="73">
        <f t="shared" si="53"/>
        <v>1</v>
      </c>
      <c r="AA23" s="65"/>
      <c r="AB23" s="74" t="s">
        <v>1945</v>
      </c>
      <c r="AC23" s="73">
        <f t="shared" si="53"/>
        <v>1</v>
      </c>
      <c r="AD23" s="65"/>
      <c r="AE23" s="74" t="s">
        <v>1955</v>
      </c>
      <c r="AF23" s="73">
        <f t="shared" si="53"/>
        <v>2</v>
      </c>
      <c r="AG23" s="65"/>
      <c r="AH23" s="74" t="s">
        <v>1955</v>
      </c>
      <c r="AI23" s="73">
        <f t="shared" si="53"/>
        <v>2</v>
      </c>
      <c r="AJ23" s="65"/>
      <c r="AK23" s="74" t="s">
        <v>1945</v>
      </c>
      <c r="AL23" s="73">
        <f t="shared" si="53"/>
        <v>1</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0</v>
      </c>
      <c r="E24" s="111"/>
      <c r="F24" s="445">
        <f t="shared" si="4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1953</v>
      </c>
      <c r="T24" s="77">
        <f t="shared" si="48"/>
        <v>4</v>
      </c>
      <c r="U24" s="65"/>
      <c r="V24" s="76" t="s">
        <v>1953</v>
      </c>
      <c r="W24" s="77">
        <f t="shared" si="49"/>
        <v>4</v>
      </c>
      <c r="X24" s="65"/>
      <c r="Y24" s="76" t="s">
        <v>1950</v>
      </c>
      <c r="Z24" s="77">
        <f t="shared" si="53"/>
        <v>1</v>
      </c>
      <c r="AA24" s="65"/>
      <c r="AB24" s="76" t="s">
        <v>1943</v>
      </c>
      <c r="AC24" s="77">
        <f t="shared" si="53"/>
        <v>1</v>
      </c>
      <c r="AD24" s="65"/>
      <c r="AE24" s="76" t="s">
        <v>1950</v>
      </c>
      <c r="AF24" s="77">
        <f t="shared" si="53"/>
        <v>1</v>
      </c>
      <c r="AG24" s="65"/>
      <c r="AH24" s="76" t="s">
        <v>1944</v>
      </c>
      <c r="AI24" s="77">
        <f t="shared" si="53"/>
        <v>1</v>
      </c>
      <c r="AJ24" s="65"/>
      <c r="AK24" s="76" t="s">
        <v>1951</v>
      </c>
      <c r="AL24" s="77">
        <f t="shared" si="53"/>
        <v>1</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1953</v>
      </c>
      <c r="T25" s="73">
        <f t="shared" si="48"/>
        <v>1</v>
      </c>
      <c r="U25" s="65"/>
      <c r="V25" s="74" t="s">
        <v>1944</v>
      </c>
      <c r="W25" s="73">
        <f t="shared" si="49"/>
        <v>1</v>
      </c>
      <c r="X25" s="65"/>
      <c r="Y25" s="74" t="s">
        <v>1943</v>
      </c>
      <c r="Z25" s="73">
        <f t="shared" si="53"/>
        <v>2</v>
      </c>
      <c r="AA25" s="65"/>
      <c r="AB25" s="74" t="s">
        <v>1943</v>
      </c>
      <c r="AC25" s="73">
        <f t="shared" si="53"/>
        <v>2</v>
      </c>
      <c r="AD25" s="65"/>
      <c r="AE25" s="74" t="s">
        <v>1953</v>
      </c>
      <c r="AF25" s="73">
        <f t="shared" si="53"/>
        <v>1</v>
      </c>
      <c r="AG25" s="65"/>
      <c r="AH25" s="74" t="s">
        <v>1951</v>
      </c>
      <c r="AI25" s="73">
        <f t="shared" si="53"/>
        <v>1</v>
      </c>
      <c r="AJ25" s="65"/>
      <c r="AK25" s="74" t="s">
        <v>1943</v>
      </c>
      <c r="AL25" s="73">
        <f t="shared" si="53"/>
        <v>2</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0</v>
      </c>
      <c r="E26" s="111"/>
      <c r="F26" s="445">
        <f t="shared" si="4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1954</v>
      </c>
      <c r="T26" s="73">
        <f t="shared" si="48"/>
        <v>0</v>
      </c>
      <c r="U26" s="65"/>
      <c r="V26" s="74" t="s">
        <v>1953</v>
      </c>
      <c r="W26" s="73">
        <f t="shared" si="49"/>
        <v>0</v>
      </c>
      <c r="X26" s="65"/>
      <c r="Y26" s="74" t="s">
        <v>1943</v>
      </c>
      <c r="Z26" s="73">
        <f t="shared" si="53"/>
        <v>0</v>
      </c>
      <c r="AA26" s="65"/>
      <c r="AB26" s="74" t="s">
        <v>1954</v>
      </c>
      <c r="AC26" s="73">
        <f t="shared" si="53"/>
        <v>0</v>
      </c>
      <c r="AD26" s="65"/>
      <c r="AE26" s="74" t="s">
        <v>1943</v>
      </c>
      <c r="AF26" s="73">
        <f t="shared" si="53"/>
        <v>0</v>
      </c>
      <c r="AG26" s="65"/>
      <c r="AH26" s="74" t="s">
        <v>1969</v>
      </c>
      <c r="AI26" s="73">
        <f t="shared" si="53"/>
        <v>0</v>
      </c>
      <c r="AJ26" s="65"/>
      <c r="AK26" s="74" t="s">
        <v>1953</v>
      </c>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12</v>
      </c>
      <c r="E27" s="111"/>
      <c r="F27" s="445">
        <f t="shared" si="4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1955</v>
      </c>
      <c r="T27" s="73">
        <f t="shared" si="48"/>
        <v>1</v>
      </c>
      <c r="U27" s="65"/>
      <c r="V27" s="74" t="s">
        <v>1946</v>
      </c>
      <c r="W27" s="73">
        <f t="shared" si="49"/>
        <v>1</v>
      </c>
      <c r="X27" s="65"/>
      <c r="Y27" s="74" t="s">
        <v>1945</v>
      </c>
      <c r="Z27" s="73">
        <f t="shared" si="53"/>
        <v>2</v>
      </c>
      <c r="AA27" s="65"/>
      <c r="AB27" s="74" t="s">
        <v>1955</v>
      </c>
      <c r="AC27" s="73">
        <f t="shared" si="53"/>
        <v>1</v>
      </c>
      <c r="AD27" s="65"/>
      <c r="AE27" s="74" t="s">
        <v>1945</v>
      </c>
      <c r="AF27" s="73">
        <f t="shared" si="53"/>
        <v>2</v>
      </c>
      <c r="AG27" s="65"/>
      <c r="AH27" s="74" t="s">
        <v>1949</v>
      </c>
      <c r="AI27" s="73">
        <f t="shared" si="53"/>
        <v>0</v>
      </c>
      <c r="AJ27" s="65"/>
      <c r="AK27" s="74" t="s">
        <v>1955</v>
      </c>
      <c r="AL27" s="73">
        <f t="shared" si="53"/>
        <v>1</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0</v>
      </c>
      <c r="E28" s="111"/>
      <c r="F28" s="445">
        <f t="shared" si="4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1943</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1953</v>
      </c>
      <c r="W28" s="73">
        <f t="shared" si="49"/>
        <v>1</v>
      </c>
      <c r="X28" s="65"/>
      <c r="Y28" s="74" t="s">
        <v>1951</v>
      </c>
      <c r="Z28" s="73">
        <f t="shared" si="53"/>
        <v>1</v>
      </c>
      <c r="AA28" s="65"/>
      <c r="AB28" s="74" t="s">
        <v>1944</v>
      </c>
      <c r="AC28" s="73">
        <f t="shared" si="53"/>
        <v>1</v>
      </c>
      <c r="AD28" s="65"/>
      <c r="AE28" s="74" t="s">
        <v>1948</v>
      </c>
      <c r="AF28" s="73">
        <f t="shared" si="53"/>
        <v>0</v>
      </c>
      <c r="AG28" s="65"/>
      <c r="AH28" s="74" t="s">
        <v>1949</v>
      </c>
      <c r="AI28" s="73">
        <f t="shared" si="53"/>
        <v>0</v>
      </c>
      <c r="AJ28" s="65"/>
      <c r="AK28" s="74" t="s">
        <v>1943</v>
      </c>
      <c r="AL28" s="73">
        <f t="shared" si="53"/>
        <v>2</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1944</v>
      </c>
      <c r="T29" s="79">
        <f t="shared" si="54"/>
        <v>2</v>
      </c>
      <c r="U29" s="65"/>
      <c r="V29" s="78" t="s">
        <v>1949</v>
      </c>
      <c r="W29" s="79">
        <f t="shared" si="49"/>
        <v>0</v>
      </c>
      <c r="X29" s="65"/>
      <c r="Y29" s="78" t="s">
        <v>1951</v>
      </c>
      <c r="Z29" s="79">
        <f t="shared" si="53"/>
        <v>4</v>
      </c>
      <c r="AA29" s="65"/>
      <c r="AB29" s="78" t="s">
        <v>1951</v>
      </c>
      <c r="AC29" s="79">
        <f t="shared" si="53"/>
        <v>4</v>
      </c>
      <c r="AD29" s="65"/>
      <c r="AE29" s="78" t="s">
        <v>1943</v>
      </c>
      <c r="AF29" s="79">
        <f t="shared" si="53"/>
        <v>1</v>
      </c>
      <c r="AG29" s="65"/>
      <c r="AH29" s="78" t="s">
        <v>1971</v>
      </c>
      <c r="AI29" s="79">
        <f t="shared" si="53"/>
        <v>0</v>
      </c>
      <c r="AJ29" s="65"/>
      <c r="AK29" s="78" t="s">
        <v>1951</v>
      </c>
      <c r="AL29" s="79">
        <f t="shared" si="53"/>
        <v>4</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0</v>
      </c>
      <c r="E30" s="111"/>
      <c r="F30" s="445">
        <f t="shared" si="4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1949</v>
      </c>
      <c r="T30" s="77">
        <f t="shared" si="54"/>
        <v>4</v>
      </c>
      <c r="U30" s="65"/>
      <c r="V30" s="76" t="s">
        <v>1956</v>
      </c>
      <c r="W30" s="77">
        <f t="shared" si="49"/>
        <v>0</v>
      </c>
      <c r="X30" s="65"/>
      <c r="Y30" s="76" t="s">
        <v>1943</v>
      </c>
      <c r="Z30" s="77">
        <f t="shared" si="53"/>
        <v>0</v>
      </c>
      <c r="AA30" s="65"/>
      <c r="AB30" s="76" t="s">
        <v>1943</v>
      </c>
      <c r="AC30" s="77">
        <f t="shared" si="53"/>
        <v>0</v>
      </c>
      <c r="AD30" s="65"/>
      <c r="AE30" s="76" t="s">
        <v>1943</v>
      </c>
      <c r="AF30" s="77">
        <f t="shared" si="53"/>
        <v>0</v>
      </c>
      <c r="AG30" s="65"/>
      <c r="AH30" s="76" t="s">
        <v>1949</v>
      </c>
      <c r="AI30" s="77">
        <f t="shared" si="53"/>
        <v>4</v>
      </c>
      <c r="AJ30" s="65"/>
      <c r="AK30" s="76" t="s">
        <v>1944</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12</v>
      </c>
      <c r="E31" s="111"/>
      <c r="F31" s="445">
        <f t="shared" si="4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51"/>
        <v>1</v>
      </c>
      <c r="R31" s="49"/>
      <c r="S31" s="74" t="s">
        <v>1951</v>
      </c>
      <c r="T31" s="73">
        <f t="shared" si="54"/>
        <v>4</v>
      </c>
      <c r="U31" s="65"/>
      <c r="V31" s="74" t="s">
        <v>1944</v>
      </c>
      <c r="W31" s="73">
        <f t="shared" si="49"/>
        <v>2</v>
      </c>
      <c r="X31" s="65"/>
      <c r="Y31" s="74" t="s">
        <v>1949</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1951</v>
      </c>
      <c r="AC31" s="73">
        <f t="shared" si="56"/>
        <v>4</v>
      </c>
      <c r="AD31" s="65"/>
      <c r="AE31" s="74" t="s">
        <v>1949</v>
      </c>
      <c r="AF31" s="73">
        <f t="shared" si="56"/>
        <v>0</v>
      </c>
      <c r="AG31" s="65"/>
      <c r="AH31" s="74" t="s">
        <v>1944</v>
      </c>
      <c r="AI31" s="73">
        <f t="shared" si="56"/>
        <v>2</v>
      </c>
      <c r="AJ31" s="65"/>
      <c r="AK31" s="74" t="s">
        <v>1949</v>
      </c>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24</v>
      </c>
      <c r="E32" s="111"/>
      <c r="F32" s="445">
        <f t="shared" si="4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51"/>
        <v>3</v>
      </c>
      <c r="R32" s="49"/>
      <c r="S32" s="74" t="s">
        <v>1944</v>
      </c>
      <c r="T32" s="73">
        <f t="shared" si="54"/>
        <v>1</v>
      </c>
      <c r="U32" s="65"/>
      <c r="V32" s="74" t="s">
        <v>1949</v>
      </c>
      <c r="W32" s="73">
        <f t="shared" si="49"/>
        <v>0</v>
      </c>
      <c r="X32" s="65"/>
      <c r="Y32" s="74" t="s">
        <v>1949</v>
      </c>
      <c r="Z32" s="73">
        <f t="shared" si="56"/>
        <v>0</v>
      </c>
      <c r="AA32" s="65"/>
      <c r="AB32" s="74" t="s">
        <v>1944</v>
      </c>
      <c r="AC32" s="73">
        <f t="shared" si="56"/>
        <v>1</v>
      </c>
      <c r="AD32" s="65"/>
      <c r="AE32" s="74" t="s">
        <v>1944</v>
      </c>
      <c r="AF32" s="73">
        <f t="shared" si="56"/>
        <v>1</v>
      </c>
      <c r="AG32" s="65"/>
      <c r="AH32" s="74" t="s">
        <v>1949</v>
      </c>
      <c r="AI32" s="73">
        <f t="shared" si="56"/>
        <v>0</v>
      </c>
      <c r="AJ32" s="65"/>
      <c r="AK32" s="74" t="s">
        <v>1951</v>
      </c>
      <c r="AL32" s="73">
        <f t="shared" si="56"/>
        <v>1</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0</v>
      </c>
      <c r="E33" s="111"/>
      <c r="F33" s="445">
        <f t="shared" si="4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51"/>
        <v>6</v>
      </c>
      <c r="R33" s="49"/>
      <c r="S33" s="74" t="s">
        <v>1951</v>
      </c>
      <c r="T33" s="73">
        <f t="shared" si="54"/>
        <v>1</v>
      </c>
      <c r="U33" s="65"/>
      <c r="V33" s="74" t="s">
        <v>1944</v>
      </c>
      <c r="W33" s="73">
        <f t="shared" si="49"/>
        <v>1</v>
      </c>
      <c r="X33" s="65"/>
      <c r="Y33" s="74" t="s">
        <v>1944</v>
      </c>
      <c r="Z33" s="73">
        <f t="shared" si="56"/>
        <v>1</v>
      </c>
      <c r="AA33" s="65"/>
      <c r="AB33" s="74" t="s">
        <v>1943</v>
      </c>
      <c r="AC33" s="73">
        <f t="shared" si="56"/>
        <v>1</v>
      </c>
      <c r="AD33" s="65"/>
      <c r="AE33" s="74" t="s">
        <v>1949</v>
      </c>
      <c r="AF33" s="73">
        <f t="shared" si="56"/>
        <v>0</v>
      </c>
      <c r="AG33" s="65"/>
      <c r="AH33" s="74" t="s">
        <v>1950</v>
      </c>
      <c r="AI33" s="73">
        <f t="shared" si="56"/>
        <v>1</v>
      </c>
      <c r="AJ33" s="65"/>
      <c r="AK33" s="74" t="s">
        <v>1943</v>
      </c>
      <c r="AL33" s="73">
        <f t="shared" si="56"/>
        <v>1</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51"/>
        <v>1</v>
      </c>
      <c r="R34" s="49"/>
      <c r="S34" s="74" t="s">
        <v>1945</v>
      </c>
      <c r="T34" s="73">
        <f t="shared" si="54"/>
        <v>1</v>
      </c>
      <c r="U34" s="65"/>
      <c r="V34" s="74" t="s">
        <v>1946</v>
      </c>
      <c r="W34" s="73">
        <f t="shared" si="49"/>
        <v>2</v>
      </c>
      <c r="X34" s="65"/>
      <c r="Y34" s="74" t="s">
        <v>1956</v>
      </c>
      <c r="Z34" s="73">
        <f t="shared" si="56"/>
        <v>4</v>
      </c>
      <c r="AA34" s="65"/>
      <c r="AB34" s="74" t="s">
        <v>1956</v>
      </c>
      <c r="AC34" s="73">
        <f t="shared" si="56"/>
        <v>4</v>
      </c>
      <c r="AD34" s="65"/>
      <c r="AE34" s="74" t="s">
        <v>1946</v>
      </c>
      <c r="AF34" s="73">
        <f t="shared" si="56"/>
        <v>2</v>
      </c>
      <c r="AG34" s="65"/>
      <c r="AH34" s="74" t="s">
        <v>1948</v>
      </c>
      <c r="AI34" s="73">
        <f t="shared" si="56"/>
        <v>0</v>
      </c>
      <c r="AJ34" s="65"/>
      <c r="AK34" s="74" t="s">
        <v>1949</v>
      </c>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0</v>
      </c>
      <c r="E35" s="111"/>
      <c r="F35" s="445">
        <f t="shared" si="4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51"/>
        <v>3</v>
      </c>
      <c r="R35" s="49"/>
      <c r="S35" s="74" t="s">
        <v>1952</v>
      </c>
      <c r="T35" s="73">
        <f t="shared" si="54"/>
        <v>1</v>
      </c>
      <c r="U35" s="65"/>
      <c r="V35" s="74" t="s">
        <v>1954</v>
      </c>
      <c r="W35" s="73">
        <f t="shared" si="49"/>
        <v>1</v>
      </c>
      <c r="X35" s="65"/>
      <c r="Y35" s="74" t="s">
        <v>1952</v>
      </c>
      <c r="Z35" s="73">
        <f t="shared" si="56"/>
        <v>1</v>
      </c>
      <c r="AA35" s="65"/>
      <c r="AB35" s="74" t="s">
        <v>1947</v>
      </c>
      <c r="AC35" s="73">
        <f t="shared" si="56"/>
        <v>1</v>
      </c>
      <c r="AD35" s="65"/>
      <c r="AE35" s="74" t="s">
        <v>1952</v>
      </c>
      <c r="AF35" s="73">
        <f t="shared" si="56"/>
        <v>1</v>
      </c>
      <c r="AG35" s="65"/>
      <c r="AH35" s="74" t="s">
        <v>1952</v>
      </c>
      <c r="AI35" s="73">
        <f t="shared" si="56"/>
        <v>1</v>
      </c>
      <c r="AJ35" s="65"/>
      <c r="AK35" s="74" t="s">
        <v>1953</v>
      </c>
      <c r="AL35" s="73">
        <f t="shared" si="56"/>
        <v>4</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0</v>
      </c>
      <c r="E36" s="111"/>
      <c r="F36" s="445">
        <f t="shared" si="4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51"/>
        <v>2</v>
      </c>
      <c r="R36" s="49"/>
      <c r="S36" s="74" t="s">
        <v>1943</v>
      </c>
      <c r="T36" s="73">
        <f t="shared" si="54"/>
        <v>4</v>
      </c>
      <c r="U36" s="65"/>
      <c r="V36" s="74" t="s">
        <v>1943</v>
      </c>
      <c r="W36" s="73">
        <f t="shared" si="49"/>
        <v>4</v>
      </c>
      <c r="X36" s="65"/>
      <c r="Y36" s="74" t="s">
        <v>1951</v>
      </c>
      <c r="Z36" s="73">
        <f t="shared" si="56"/>
        <v>1</v>
      </c>
      <c r="AA36" s="65"/>
      <c r="AB36" s="74" t="s">
        <v>1943</v>
      </c>
      <c r="AC36" s="73">
        <f t="shared" si="56"/>
        <v>4</v>
      </c>
      <c r="AD36" s="65"/>
      <c r="AE36" s="74" t="s">
        <v>1953</v>
      </c>
      <c r="AF36" s="73">
        <f t="shared" si="56"/>
        <v>1</v>
      </c>
      <c r="AG36" s="65"/>
      <c r="AH36" s="74" t="s">
        <v>1972</v>
      </c>
      <c r="AI36" s="73">
        <f t="shared" si="56"/>
        <v>1</v>
      </c>
      <c r="AJ36" s="65"/>
      <c r="AK36" s="74" t="s">
        <v>1949</v>
      </c>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51"/>
        <v>1</v>
      </c>
      <c r="R37" s="49"/>
      <c r="S37" s="74" t="s">
        <v>1951</v>
      </c>
      <c r="T37" s="73">
        <f t="shared" si="48"/>
        <v>0</v>
      </c>
      <c r="U37" s="65"/>
      <c r="V37" s="74" t="s">
        <v>1949</v>
      </c>
      <c r="W37" s="73">
        <f t="shared" si="49"/>
        <v>0</v>
      </c>
      <c r="X37" s="65"/>
      <c r="Y37" s="74" t="s">
        <v>1951</v>
      </c>
      <c r="Z37" s="73">
        <f t="shared" si="56"/>
        <v>0</v>
      </c>
      <c r="AA37" s="65"/>
      <c r="AB37" s="74" t="s">
        <v>1944</v>
      </c>
      <c r="AC37" s="73">
        <f t="shared" si="56"/>
        <v>0</v>
      </c>
      <c r="AD37" s="65"/>
      <c r="AE37" s="74" t="s">
        <v>1944</v>
      </c>
      <c r="AF37" s="73">
        <f t="shared" si="56"/>
        <v>0</v>
      </c>
      <c r="AG37" s="65"/>
      <c r="AH37" s="74" t="s">
        <v>1949</v>
      </c>
      <c r="AI37" s="73">
        <f t="shared" si="56"/>
        <v>0</v>
      </c>
      <c r="AJ37" s="65"/>
      <c r="AK37" s="74" t="s">
        <v>1949</v>
      </c>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0</v>
      </c>
      <c r="E38" s="111"/>
      <c r="F38" s="445">
        <f t="shared" si="4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51"/>
        <v>1</v>
      </c>
      <c r="R38" s="49"/>
      <c r="S38" s="74" t="s">
        <v>1952</v>
      </c>
      <c r="T38" s="73">
        <f t="shared" si="48"/>
        <v>1</v>
      </c>
      <c r="U38" s="65"/>
      <c r="V38" s="74" t="s">
        <v>1943</v>
      </c>
      <c r="W38" s="73">
        <f t="shared" si="49"/>
        <v>1</v>
      </c>
      <c r="X38" s="65"/>
      <c r="Y38" s="74" t="s">
        <v>1944</v>
      </c>
      <c r="Z38" s="73">
        <f t="shared" si="56"/>
        <v>4</v>
      </c>
      <c r="AA38" s="65"/>
      <c r="AB38" s="74" t="s">
        <v>1944</v>
      </c>
      <c r="AC38" s="73">
        <f t="shared" si="56"/>
        <v>4</v>
      </c>
      <c r="AD38" s="65"/>
      <c r="AE38" s="74" t="s">
        <v>1949</v>
      </c>
      <c r="AF38" s="73">
        <f t="shared" si="56"/>
        <v>0</v>
      </c>
      <c r="AG38" s="65"/>
      <c r="AH38" s="74" t="s">
        <v>1944</v>
      </c>
      <c r="AI38" s="73">
        <f t="shared" si="56"/>
        <v>4</v>
      </c>
      <c r="AJ38" s="65"/>
      <c r="AK38" s="74" t="s">
        <v>1943</v>
      </c>
      <c r="AL38" s="73">
        <f t="shared" si="56"/>
        <v>1</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48</v>
      </c>
      <c r="E39" s="111"/>
      <c r="F39" s="445">
        <f t="shared" si="4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51"/>
        <v>0</v>
      </c>
      <c r="R39" s="49"/>
      <c r="S39" s="74" t="s">
        <v>1944</v>
      </c>
      <c r="T39" s="73">
        <f t="shared" si="48"/>
        <v>0</v>
      </c>
      <c r="U39" s="65"/>
      <c r="V39" s="74" t="s">
        <v>1944</v>
      </c>
      <c r="W39" s="73">
        <f t="shared" si="49"/>
        <v>0</v>
      </c>
      <c r="X39" s="65"/>
      <c r="Y39" s="74" t="s">
        <v>1943</v>
      </c>
      <c r="Z39" s="73">
        <f t="shared" si="56"/>
        <v>0</v>
      </c>
      <c r="AA39" s="65"/>
      <c r="AB39" s="74" t="s">
        <v>1943</v>
      </c>
      <c r="AC39" s="73">
        <f t="shared" si="56"/>
        <v>0</v>
      </c>
      <c r="AD39" s="65"/>
      <c r="AE39" s="74" t="s">
        <v>1951</v>
      </c>
      <c r="AF39" s="73">
        <f t="shared" si="56"/>
        <v>0</v>
      </c>
      <c r="AG39" s="65"/>
      <c r="AH39" s="74" t="s">
        <v>1951</v>
      </c>
      <c r="AI39" s="73">
        <f t="shared" si="56"/>
        <v>0</v>
      </c>
      <c r="AJ39" s="65"/>
      <c r="AK39" s="74" t="s">
        <v>1943</v>
      </c>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24</v>
      </c>
      <c r="E40" s="111"/>
      <c r="F40" s="445">
        <f t="shared" si="4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51"/>
        <v>4</v>
      </c>
      <c r="R40" s="49"/>
      <c r="S40" s="74" t="s">
        <v>1944</v>
      </c>
      <c r="T40" s="73">
        <f t="shared" si="48"/>
        <v>1</v>
      </c>
      <c r="U40" s="65"/>
      <c r="V40" s="74" t="s">
        <v>1943</v>
      </c>
      <c r="W40" s="73">
        <f t="shared" si="49"/>
        <v>1</v>
      </c>
      <c r="X40" s="65"/>
      <c r="Y40" s="74" t="s">
        <v>1951</v>
      </c>
      <c r="Z40" s="73">
        <f t="shared" si="56"/>
        <v>1</v>
      </c>
      <c r="AA40" s="65"/>
      <c r="AB40" s="74" t="s">
        <v>1950</v>
      </c>
      <c r="AC40" s="73">
        <f t="shared" si="56"/>
        <v>1</v>
      </c>
      <c r="AD40" s="65"/>
      <c r="AE40" s="74" t="s">
        <v>1944</v>
      </c>
      <c r="AF40" s="73">
        <f t="shared" si="56"/>
        <v>1</v>
      </c>
      <c r="AG40" s="65"/>
      <c r="AH40" s="74" t="s">
        <v>1949</v>
      </c>
      <c r="AI40" s="73">
        <f t="shared" si="56"/>
        <v>0</v>
      </c>
      <c r="AJ40" s="65"/>
      <c r="AK40" s="74" t="s">
        <v>1948</v>
      </c>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8</v>
      </c>
      <c r="E41" s="111"/>
      <c r="F41" s="445">
        <f t="shared" si="4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51"/>
        <v>4</v>
      </c>
      <c r="R41" s="49"/>
      <c r="S41" s="74" t="s">
        <v>1956</v>
      </c>
      <c r="T41" s="73">
        <f t="shared" si="48"/>
        <v>1</v>
      </c>
      <c r="U41" s="65"/>
      <c r="V41" s="74" t="s">
        <v>1945</v>
      </c>
      <c r="W41" s="73">
        <f t="shared" si="49"/>
        <v>1</v>
      </c>
      <c r="X41" s="65"/>
      <c r="Y41" s="74" t="s">
        <v>1949</v>
      </c>
      <c r="Z41" s="73">
        <f t="shared" si="56"/>
        <v>0</v>
      </c>
      <c r="AA41" s="65"/>
      <c r="AB41" s="74" t="s">
        <v>1956</v>
      </c>
      <c r="AC41" s="73">
        <f t="shared" si="56"/>
        <v>1</v>
      </c>
      <c r="AD41" s="65"/>
      <c r="AE41" s="74" t="s">
        <v>1946</v>
      </c>
      <c r="AF41" s="73">
        <f t="shared" si="56"/>
        <v>1</v>
      </c>
      <c r="AG41" s="65"/>
      <c r="AH41" s="74" t="s">
        <v>1945</v>
      </c>
      <c r="AI41" s="73">
        <f t="shared" si="56"/>
        <v>1</v>
      </c>
      <c r="AJ41" s="65"/>
      <c r="AK41" s="74" t="s">
        <v>1945</v>
      </c>
      <c r="AL41" s="73">
        <f t="shared" si="56"/>
        <v>1</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12</v>
      </c>
      <c r="E42" s="111"/>
      <c r="F42" s="445">
        <f t="shared" si="4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1944</v>
      </c>
      <c r="Z42" s="77">
        <f t="shared" si="56"/>
        <v>0</v>
      </c>
      <c r="AA42" s="65"/>
      <c r="AB42" s="76" t="s">
        <v>1944</v>
      </c>
      <c r="AC42" s="77">
        <f t="shared" si="56"/>
        <v>0</v>
      </c>
      <c r="AD42" s="65"/>
      <c r="AE42" s="76" t="s">
        <v>1943</v>
      </c>
      <c r="AF42" s="77">
        <f t="shared" si="56"/>
        <v>0</v>
      </c>
      <c r="AG42" s="65"/>
      <c r="AH42" s="76" t="s">
        <v>1949</v>
      </c>
      <c r="AI42" s="77">
        <f t="shared" si="56"/>
        <v>2</v>
      </c>
      <c r="AJ42" s="65"/>
      <c r="AK42" s="76" t="s">
        <v>1951</v>
      </c>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0</v>
      </c>
      <c r="E43" s="111"/>
      <c r="F43" s="445">
        <f t="shared" si="4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51"/>
        <v>2</v>
      </c>
      <c r="R43" s="49"/>
      <c r="S43" s="74" t="s">
        <v>1946</v>
      </c>
      <c r="T43" s="73">
        <f t="shared" si="48"/>
        <v>1</v>
      </c>
      <c r="U43" s="65"/>
      <c r="V43" s="74" t="s">
        <v>1946</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1</v>
      </c>
      <c r="X43" s="65"/>
      <c r="Y43" s="74" t="s">
        <v>1945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2</v>
      </c>
      <c r="AA43" s="65"/>
      <c r="AB43" s="74" t="s">
        <v>1945</v>
      </c>
      <c r="AC43" s="73">
        <f t="shared" si="59"/>
        <v>2</v>
      </c>
      <c r="AD43" s="65"/>
      <c r="AE43" s="74" t="s">
        <v>1945</v>
      </c>
      <c r="AF43" s="73">
        <f t="shared" si="59"/>
        <v>2</v>
      </c>
      <c r="AG43" s="65"/>
      <c r="AH43" s="74" t="s">
        <v>1946</v>
      </c>
      <c r="AI43" s="73">
        <f t="shared" si="59"/>
        <v>1</v>
      </c>
      <c r="AJ43" s="65"/>
      <c r="AK43" s="74" t="s">
        <v>1956</v>
      </c>
      <c r="AL43" s="73">
        <f t="shared" si="59"/>
        <v>1</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0</v>
      </c>
      <c r="E44" s="111"/>
      <c r="F44" s="445">
        <f t="shared" si="4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51"/>
        <v>4</v>
      </c>
      <c r="R44" s="49"/>
      <c r="S44" s="74" t="s">
        <v>1953</v>
      </c>
      <c r="T44" s="73">
        <f t="shared" si="48"/>
        <v>1</v>
      </c>
      <c r="U44" s="65"/>
      <c r="V44" s="74" t="s">
        <v>1943</v>
      </c>
      <c r="W44" s="73">
        <f t="shared" si="58"/>
        <v>1</v>
      </c>
      <c r="X44" s="65"/>
      <c r="Y44" s="74" t="s">
        <v>1950</v>
      </c>
      <c r="Z44" s="73">
        <f t="shared" si="59"/>
        <v>1</v>
      </c>
      <c r="AA44" s="65"/>
      <c r="AB44" s="74" t="s">
        <v>1952</v>
      </c>
      <c r="AC44" s="73">
        <f t="shared" si="59"/>
        <v>4</v>
      </c>
      <c r="AD44" s="65"/>
      <c r="AE44" s="74" t="s">
        <v>1943</v>
      </c>
      <c r="AF44" s="73">
        <f t="shared" si="59"/>
        <v>1</v>
      </c>
      <c r="AG44" s="65"/>
      <c r="AH44" s="74" t="s">
        <v>1943</v>
      </c>
      <c r="AI44" s="73">
        <f t="shared" si="59"/>
        <v>1</v>
      </c>
      <c r="AJ44" s="65"/>
      <c r="AK44" s="74" t="s">
        <v>1943</v>
      </c>
      <c r="AL44" s="73">
        <f t="shared" si="59"/>
        <v>1</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12</v>
      </c>
      <c r="E45" s="111"/>
      <c r="F45" s="445">
        <f t="shared" si="4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51"/>
        <v>0</v>
      </c>
      <c r="R45" s="49"/>
      <c r="S45" s="74" t="s">
        <v>1950</v>
      </c>
      <c r="T45" s="73">
        <f t="shared" si="48"/>
        <v>0</v>
      </c>
      <c r="U45" s="65"/>
      <c r="V45" s="74" t="s">
        <v>1943</v>
      </c>
      <c r="W45" s="73">
        <f t="shared" si="58"/>
        <v>0</v>
      </c>
      <c r="X45" s="65"/>
      <c r="Y45" s="74" t="s">
        <v>1943</v>
      </c>
      <c r="Z45" s="73">
        <f t="shared" si="59"/>
        <v>0</v>
      </c>
      <c r="AA45" s="65"/>
      <c r="AB45" s="74" t="s">
        <v>1953</v>
      </c>
      <c r="AC45" s="73">
        <f t="shared" si="59"/>
        <v>0</v>
      </c>
      <c r="AD45" s="65"/>
      <c r="AE45" s="74" t="s">
        <v>1943</v>
      </c>
      <c r="AF45" s="73">
        <f t="shared" si="59"/>
        <v>0</v>
      </c>
      <c r="AG45" s="65"/>
      <c r="AH45" s="74" t="s">
        <v>1953</v>
      </c>
      <c r="AI45" s="73">
        <f t="shared" si="59"/>
        <v>0</v>
      </c>
      <c r="AJ45" s="65"/>
      <c r="AK45" s="74" t="s">
        <v>1953</v>
      </c>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0</v>
      </c>
      <c r="E46" s="111"/>
      <c r="F46" s="445">
        <f t="shared" si="4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51"/>
        <v>3</v>
      </c>
      <c r="R46" s="49"/>
      <c r="S46" s="74" t="s">
        <v>1953</v>
      </c>
      <c r="T46" s="73">
        <f t="shared" si="48"/>
        <v>4</v>
      </c>
      <c r="U46" s="65"/>
      <c r="V46" s="74" t="s">
        <v>1953</v>
      </c>
      <c r="W46" s="73">
        <f t="shared" si="58"/>
        <v>4</v>
      </c>
      <c r="X46" s="65"/>
      <c r="Y46" s="74" t="s">
        <v>1943</v>
      </c>
      <c r="Z46" s="73">
        <f t="shared" si="59"/>
        <v>1</v>
      </c>
      <c r="AA46" s="65"/>
      <c r="AB46" s="74" t="s">
        <v>1952</v>
      </c>
      <c r="AC46" s="73">
        <f t="shared" si="59"/>
        <v>1</v>
      </c>
      <c r="AD46" s="65"/>
      <c r="AE46" s="74" t="s">
        <v>1954</v>
      </c>
      <c r="AF46" s="73">
        <f t="shared" si="59"/>
        <v>1</v>
      </c>
      <c r="AG46" s="65"/>
      <c r="AH46" s="74" t="s">
        <v>1943</v>
      </c>
      <c r="AI46" s="73">
        <f t="shared" si="59"/>
        <v>1</v>
      </c>
      <c r="AJ46" s="65"/>
      <c r="AK46" s="74" t="s">
        <v>1953</v>
      </c>
      <c r="AL46" s="73">
        <f t="shared" si="59"/>
        <v>4</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0</v>
      </c>
      <c r="E47" s="111"/>
      <c r="F47" s="445">
        <f t="shared" si="4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51"/>
        <v>1</v>
      </c>
      <c r="R47" s="49"/>
      <c r="S47" s="74" t="s">
        <v>1944</v>
      </c>
      <c r="T47" s="73">
        <f t="shared" si="48"/>
        <v>2</v>
      </c>
      <c r="U47" s="65"/>
      <c r="V47" s="74" t="s">
        <v>1946</v>
      </c>
      <c r="W47" s="73">
        <f t="shared" si="58"/>
        <v>0</v>
      </c>
      <c r="X47" s="65"/>
      <c r="Y47" s="74" t="s">
        <v>1951</v>
      </c>
      <c r="Z47" s="73">
        <f t="shared" si="59"/>
        <v>2</v>
      </c>
      <c r="AA47" s="65"/>
      <c r="AB47" s="74" t="s">
        <v>1944</v>
      </c>
      <c r="AC47" s="73">
        <f t="shared" si="59"/>
        <v>2</v>
      </c>
      <c r="AD47" s="65"/>
      <c r="AE47" s="74" t="s">
        <v>1949</v>
      </c>
      <c r="AF47" s="73">
        <f t="shared" si="59"/>
        <v>0</v>
      </c>
      <c r="AG47" s="65"/>
      <c r="AH47" s="74" t="s">
        <v>1949</v>
      </c>
      <c r="AI47" s="73">
        <f t="shared" si="59"/>
        <v>0</v>
      </c>
      <c r="AJ47" s="65"/>
      <c r="AK47" s="74" t="s">
        <v>1951</v>
      </c>
      <c r="AL47" s="73">
        <f t="shared" si="59"/>
        <v>2</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51"/>
        <v>2</v>
      </c>
      <c r="R48" s="49"/>
      <c r="S48" s="74" t="s">
        <v>1943</v>
      </c>
      <c r="T48" s="73">
        <f t="shared" si="48"/>
        <v>4</v>
      </c>
      <c r="U48" s="65"/>
      <c r="V48" s="74" t="s">
        <v>1944</v>
      </c>
      <c r="W48" s="73">
        <f t="shared" si="58"/>
        <v>1</v>
      </c>
      <c r="X48" s="65"/>
      <c r="Y48" s="74" t="s">
        <v>1943</v>
      </c>
      <c r="Z48" s="73">
        <f t="shared" si="59"/>
        <v>4</v>
      </c>
      <c r="AA48" s="65"/>
      <c r="AB48" s="74" t="s">
        <v>1943</v>
      </c>
      <c r="AC48" s="73">
        <f t="shared" si="59"/>
        <v>4</v>
      </c>
      <c r="AD48" s="65"/>
      <c r="AE48" s="74" t="s">
        <v>1951</v>
      </c>
      <c r="AF48" s="73">
        <f t="shared" si="59"/>
        <v>1</v>
      </c>
      <c r="AG48" s="65"/>
      <c r="AH48" s="74" t="s">
        <v>1950</v>
      </c>
      <c r="AI48" s="73">
        <f t="shared" si="59"/>
        <v>2</v>
      </c>
      <c r="AJ48" s="65"/>
      <c r="AK48" s="74" t="s">
        <v>1951</v>
      </c>
      <c r="AL48" s="73">
        <f t="shared" si="59"/>
        <v>1</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 thickBot="1">
      <c r="A49" s="49"/>
      <c r="B49" s="436"/>
      <c r="C49" s="667" t="str">
        <f>"**"&amp;Idiomas!D441&amp;": -&gt;"</f>
        <v>**% Ajuste por desvío en Diferencia/Distancia de goles: -&gt;</v>
      </c>
      <c r="D49" s="668" t="s">
        <v>1927</v>
      </c>
      <c r="E49" s="89"/>
      <c r="F49" s="445">
        <f t="shared" si="4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51"/>
        <v>1</v>
      </c>
      <c r="R49" s="49"/>
      <c r="S49" s="74" t="s">
        <v>1946</v>
      </c>
      <c r="T49" s="73">
        <f t="shared" si="48"/>
        <v>4</v>
      </c>
      <c r="U49" s="65"/>
      <c r="V49" s="74" t="s">
        <v>1945</v>
      </c>
      <c r="W49" s="73">
        <f t="shared" si="58"/>
        <v>1</v>
      </c>
      <c r="X49" s="65"/>
      <c r="Y49" s="74" t="s">
        <v>1945</v>
      </c>
      <c r="Z49" s="73">
        <f t="shared" si="59"/>
        <v>1</v>
      </c>
      <c r="AA49" s="65"/>
      <c r="AB49" s="74" t="s">
        <v>1956</v>
      </c>
      <c r="AC49" s="73">
        <f t="shared" si="59"/>
        <v>2</v>
      </c>
      <c r="AD49" s="65"/>
      <c r="AE49" s="74" t="s">
        <v>1945</v>
      </c>
      <c r="AF49" s="73">
        <f t="shared" si="59"/>
        <v>1</v>
      </c>
      <c r="AG49" s="65"/>
      <c r="AH49" s="74" t="s">
        <v>1949</v>
      </c>
      <c r="AI49" s="73">
        <f t="shared" si="59"/>
        <v>0</v>
      </c>
      <c r="AJ49" s="65"/>
      <c r="AK49" s="74" t="s">
        <v>1945</v>
      </c>
      <c r="AL49" s="73">
        <f t="shared" si="59"/>
        <v>1</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 thickBot="1">
      <c r="A50" s="49"/>
      <c r="B50" s="49"/>
      <c r="C50" s="671" t="str">
        <f>HYPERLINK(Idiomas!D444,Idiomas!D443)</f>
        <v>**¿Qué es esto y cómo funciona?</v>
      </c>
      <c r="D50" s="429">
        <f>IF(D49=Idiomas!$D$442,1,D49)</f>
        <v>1</v>
      </c>
      <c r="E50" s="89"/>
      <c r="F50" s="445">
        <f t="shared" si="4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51"/>
        <v>5</v>
      </c>
      <c r="R50" s="49"/>
      <c r="S50" s="74" t="s">
        <v>1953</v>
      </c>
      <c r="T50" s="73">
        <f t="shared" si="48"/>
        <v>1</v>
      </c>
      <c r="U50" s="65"/>
      <c r="V50" s="74" t="s">
        <v>1953</v>
      </c>
      <c r="W50" s="73">
        <f t="shared" si="58"/>
        <v>1</v>
      </c>
      <c r="X50" s="65"/>
      <c r="Y50" s="74" t="s">
        <v>1943</v>
      </c>
      <c r="Z50" s="73">
        <f t="shared" si="59"/>
        <v>1</v>
      </c>
      <c r="AA50" s="65"/>
      <c r="AB50" s="74" t="s">
        <v>1953</v>
      </c>
      <c r="AC50" s="73">
        <f t="shared" si="59"/>
        <v>1</v>
      </c>
      <c r="AD50" s="65"/>
      <c r="AE50" s="74" t="s">
        <v>1953</v>
      </c>
      <c r="AF50" s="73">
        <f t="shared" si="59"/>
        <v>1</v>
      </c>
      <c r="AG50" s="65"/>
      <c r="AH50" s="74" t="s">
        <v>1951</v>
      </c>
      <c r="AI50" s="73">
        <f t="shared" si="59"/>
        <v>1</v>
      </c>
      <c r="AJ50" s="65"/>
      <c r="AK50" s="74" t="s">
        <v>1953</v>
      </c>
      <c r="AL50" s="73">
        <f t="shared" si="59"/>
        <v>1</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51"/>
        <v>1</v>
      </c>
      <c r="R51" s="49"/>
      <c r="S51" s="74" t="s">
        <v>1953</v>
      </c>
      <c r="T51" s="73">
        <f t="shared" si="48"/>
        <v>1</v>
      </c>
      <c r="U51" s="65"/>
      <c r="V51" s="74" t="s">
        <v>1943</v>
      </c>
      <c r="W51" s="73">
        <f t="shared" si="58"/>
        <v>1</v>
      </c>
      <c r="X51" s="65"/>
      <c r="Y51" s="74" t="s">
        <v>1944</v>
      </c>
      <c r="Z51" s="73">
        <f t="shared" si="59"/>
        <v>2</v>
      </c>
      <c r="AA51" s="65"/>
      <c r="AB51" s="74" t="s">
        <v>1953</v>
      </c>
      <c r="AC51" s="73">
        <f t="shared" si="59"/>
        <v>1</v>
      </c>
      <c r="AD51" s="65"/>
      <c r="AE51" s="74" t="s">
        <v>1951</v>
      </c>
      <c r="AF51" s="73">
        <f t="shared" si="59"/>
        <v>4</v>
      </c>
      <c r="AG51" s="65"/>
      <c r="AH51" s="74" t="s">
        <v>1944</v>
      </c>
      <c r="AI51" s="73">
        <f t="shared" si="59"/>
        <v>2</v>
      </c>
      <c r="AJ51" s="65"/>
      <c r="AK51" s="74" t="s">
        <v>1953</v>
      </c>
      <c r="AL51" s="73">
        <f t="shared" si="59"/>
        <v>1</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51"/>
        <v>0</v>
      </c>
      <c r="R52" s="49"/>
      <c r="S52" s="74" t="s">
        <v>1943</v>
      </c>
      <c r="T52" s="73">
        <f t="shared" si="48"/>
        <v>0</v>
      </c>
      <c r="U52" s="65"/>
      <c r="V52" s="74" t="s">
        <v>1953</v>
      </c>
      <c r="W52" s="73">
        <f t="shared" si="58"/>
        <v>0</v>
      </c>
      <c r="X52" s="65"/>
      <c r="Y52" s="74" t="s">
        <v>1944</v>
      </c>
      <c r="Z52" s="73">
        <f t="shared" si="59"/>
        <v>0</v>
      </c>
      <c r="AA52" s="65"/>
      <c r="AB52" s="74" t="s">
        <v>1950</v>
      </c>
      <c r="AC52" s="73">
        <f t="shared" si="59"/>
        <v>0</v>
      </c>
      <c r="AD52" s="65"/>
      <c r="AE52" s="74" t="s">
        <v>1949</v>
      </c>
      <c r="AF52" s="73">
        <f t="shared" si="59"/>
        <v>2</v>
      </c>
      <c r="AG52" s="65"/>
      <c r="AH52" s="74" t="s">
        <v>1943</v>
      </c>
      <c r="AI52" s="73">
        <f t="shared" si="59"/>
        <v>0</v>
      </c>
      <c r="AJ52" s="65"/>
      <c r="AK52" s="74" t="s">
        <v>1951</v>
      </c>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51"/>
        <v>1</v>
      </c>
      <c r="R53" s="49"/>
      <c r="S53" s="78" t="s">
        <v>1956</v>
      </c>
      <c r="T53" s="79">
        <f t="shared" si="48"/>
        <v>4</v>
      </c>
      <c r="U53" s="65"/>
      <c r="V53" s="78" t="s">
        <v>1945</v>
      </c>
      <c r="W53" s="79">
        <f t="shared" si="58"/>
        <v>1</v>
      </c>
      <c r="X53" s="65"/>
      <c r="Y53" s="78" t="s">
        <v>1945</v>
      </c>
      <c r="Z53" s="79">
        <f t="shared" si="59"/>
        <v>1</v>
      </c>
      <c r="AA53" s="65"/>
      <c r="AB53" s="78" t="s">
        <v>1949</v>
      </c>
      <c r="AC53" s="79">
        <f t="shared" si="59"/>
        <v>0</v>
      </c>
      <c r="AD53" s="65"/>
      <c r="AE53" s="78" t="s">
        <v>1945</v>
      </c>
      <c r="AF53" s="79">
        <f t="shared" si="59"/>
        <v>1</v>
      </c>
      <c r="AG53" s="65"/>
      <c r="AH53" s="78" t="s">
        <v>1948</v>
      </c>
      <c r="AI53" s="79">
        <f t="shared" si="59"/>
        <v>0</v>
      </c>
      <c r="AJ53" s="65"/>
      <c r="AK53" s="78" t="s">
        <v>1945</v>
      </c>
      <c r="AL53" s="79">
        <f t="shared" si="59"/>
        <v>1</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51"/>
        <v>3</v>
      </c>
      <c r="R54" s="49"/>
      <c r="S54" s="76" t="s">
        <v>1949</v>
      </c>
      <c r="T54" s="77">
        <f t="shared" si="48"/>
        <v>0</v>
      </c>
      <c r="U54" s="65"/>
      <c r="V54" s="76" t="s">
        <v>1943</v>
      </c>
      <c r="W54" s="77">
        <f t="shared" si="58"/>
        <v>0</v>
      </c>
      <c r="X54" s="65"/>
      <c r="Y54" s="76" t="s">
        <v>1949</v>
      </c>
      <c r="Z54" s="77">
        <f t="shared" si="59"/>
        <v>0</v>
      </c>
      <c r="AA54" s="65"/>
      <c r="AB54" s="76" t="s">
        <v>1949</v>
      </c>
      <c r="AC54" s="77">
        <f t="shared" si="59"/>
        <v>0</v>
      </c>
      <c r="AD54" s="65"/>
      <c r="AE54" s="76" t="s">
        <v>1944</v>
      </c>
      <c r="AF54" s="77">
        <f t="shared" si="59"/>
        <v>0</v>
      </c>
      <c r="AG54" s="65"/>
      <c r="AH54" s="76" t="s">
        <v>1948</v>
      </c>
      <c r="AI54" s="77">
        <f t="shared" si="59"/>
        <v>0</v>
      </c>
      <c r="AJ54" s="65"/>
      <c r="AK54" s="76" t="s">
        <v>1949</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51"/>
        <v>1</v>
      </c>
      <c r="R55" s="49"/>
      <c r="S55" s="74" t="s">
        <v>1956</v>
      </c>
      <c r="T55" s="73">
        <f t="shared" si="48"/>
        <v>0</v>
      </c>
      <c r="U55" s="65"/>
      <c r="V55" s="74" t="s">
        <v>1946</v>
      </c>
      <c r="W55" s="73">
        <f t="shared" si="58"/>
        <v>0</v>
      </c>
      <c r="X55" s="65"/>
      <c r="Y55" s="74" t="s">
        <v>1956</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1956</v>
      </c>
      <c r="AF55" s="73">
        <f t="shared" si="61"/>
        <v>0</v>
      </c>
      <c r="AG55" s="65"/>
      <c r="AH55" s="74" t="s">
        <v>1945</v>
      </c>
      <c r="AI55" s="73">
        <f t="shared" si="61"/>
        <v>0</v>
      </c>
      <c r="AJ55" s="65"/>
      <c r="AK55" s="74" t="s">
        <v>1945</v>
      </c>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392</v>
      </c>
      <c r="E56" s="111"/>
      <c r="F56" s="445">
        <f t="shared" si="4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51"/>
        <v>1</v>
      </c>
      <c r="R56" s="49"/>
      <c r="S56" s="74" t="s">
        <v>1944</v>
      </c>
      <c r="T56" s="73">
        <f t="shared" si="48"/>
        <v>4</v>
      </c>
      <c r="U56" s="65"/>
      <c r="V56" s="74" t="s">
        <v>1943</v>
      </c>
      <c r="W56" s="73">
        <f t="shared" si="58"/>
        <v>1</v>
      </c>
      <c r="X56" s="65"/>
      <c r="Y56" s="74" t="s">
        <v>1944</v>
      </c>
      <c r="Z56" s="73">
        <f t="shared" si="61"/>
        <v>4</v>
      </c>
      <c r="AA56" s="65"/>
      <c r="AB56" s="74" t="s">
        <v>1944</v>
      </c>
      <c r="AC56" s="73">
        <f t="shared" si="61"/>
        <v>4</v>
      </c>
      <c r="AD56" s="65"/>
      <c r="AE56" s="74" t="s">
        <v>1951</v>
      </c>
      <c r="AF56" s="73">
        <f t="shared" si="61"/>
        <v>2</v>
      </c>
      <c r="AG56" s="65"/>
      <c r="AH56" s="74" t="s">
        <v>1949</v>
      </c>
      <c r="AI56" s="73">
        <f t="shared" si="61"/>
        <v>0</v>
      </c>
      <c r="AJ56" s="65"/>
      <c r="AK56" s="74" t="s">
        <v>1951</v>
      </c>
      <c r="AL56" s="73">
        <f t="shared" si="61"/>
        <v>2</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176</v>
      </c>
      <c r="E57" s="111"/>
      <c r="F57" s="445">
        <f t="shared" si="4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51"/>
        <v>2</v>
      </c>
      <c r="R57" s="49"/>
      <c r="S57" s="74" t="s">
        <v>1944</v>
      </c>
      <c r="T57" s="73">
        <f t="shared" si="48"/>
        <v>1</v>
      </c>
      <c r="U57" s="65"/>
      <c r="V57" s="74" t="s">
        <v>1946</v>
      </c>
      <c r="W57" s="73">
        <f t="shared" si="58"/>
        <v>0</v>
      </c>
      <c r="X57" s="65"/>
      <c r="Y57" s="74" t="s">
        <v>1951</v>
      </c>
      <c r="Z57" s="73">
        <f t="shared" si="61"/>
        <v>1</v>
      </c>
      <c r="AA57" s="65"/>
      <c r="AB57" s="74" t="s">
        <v>1953</v>
      </c>
      <c r="AC57" s="73">
        <f t="shared" si="61"/>
        <v>1</v>
      </c>
      <c r="AD57" s="65"/>
      <c r="AE57" s="74" t="s">
        <v>1953</v>
      </c>
      <c r="AF57" s="73">
        <f t="shared" si="61"/>
        <v>1</v>
      </c>
      <c r="AG57" s="65"/>
      <c r="AH57" s="74" t="s">
        <v>1971</v>
      </c>
      <c r="AI57" s="73">
        <f t="shared" si="61"/>
        <v>0</v>
      </c>
      <c r="AJ57" s="65"/>
      <c r="AK57" s="74" t="s">
        <v>1944</v>
      </c>
      <c r="AL57" s="73">
        <f t="shared" si="61"/>
        <v>1</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48</v>
      </c>
      <c r="E58" s="111"/>
      <c r="F58" s="445">
        <f t="shared" si="4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51"/>
        <v>3</v>
      </c>
      <c r="R58" s="49"/>
      <c r="S58" s="74" t="s">
        <v>1945</v>
      </c>
      <c r="T58" s="73">
        <f t="shared" si="48"/>
        <v>1</v>
      </c>
      <c r="U58" s="65"/>
      <c r="V58" s="74" t="s">
        <v>1957</v>
      </c>
      <c r="W58" s="73">
        <f t="shared" si="58"/>
        <v>1</v>
      </c>
      <c r="X58" s="65"/>
      <c r="Y58" s="74" t="s">
        <v>1945</v>
      </c>
      <c r="Z58" s="73">
        <f t="shared" si="61"/>
        <v>1</v>
      </c>
      <c r="AA58" s="65"/>
      <c r="AB58" s="74" t="s">
        <v>1945</v>
      </c>
      <c r="AC58" s="73">
        <f t="shared" si="61"/>
        <v>1</v>
      </c>
      <c r="AD58" s="65"/>
      <c r="AE58" s="74" t="s">
        <v>1945</v>
      </c>
      <c r="AF58" s="73">
        <f t="shared" si="61"/>
        <v>1</v>
      </c>
      <c r="AG58" s="65"/>
      <c r="AH58" s="74" t="s">
        <v>1949</v>
      </c>
      <c r="AI58" s="73">
        <f t="shared" si="61"/>
        <v>0</v>
      </c>
      <c r="AJ58" s="65"/>
      <c r="AK58" s="74" t="s">
        <v>1945</v>
      </c>
      <c r="AL58" s="73">
        <f t="shared" si="61"/>
        <v>1</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48</v>
      </c>
      <c r="E59" s="111"/>
      <c r="F59" s="445">
        <f t="shared" si="4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51"/>
        <v>2</v>
      </c>
      <c r="R59" s="49"/>
      <c r="S59" s="74" t="s">
        <v>1953</v>
      </c>
      <c r="T59" s="73">
        <f t="shared" si="48"/>
        <v>1</v>
      </c>
      <c r="U59" s="65"/>
      <c r="V59" s="74" t="s">
        <v>1952</v>
      </c>
      <c r="W59" s="73">
        <f t="shared" si="58"/>
        <v>1</v>
      </c>
      <c r="X59" s="65"/>
      <c r="Y59" s="74" t="s">
        <v>1953</v>
      </c>
      <c r="Z59" s="73">
        <f t="shared" si="61"/>
        <v>1</v>
      </c>
      <c r="AA59" s="65"/>
      <c r="AB59" s="74" t="s">
        <v>1953</v>
      </c>
      <c r="AC59" s="73">
        <f t="shared" si="61"/>
        <v>1</v>
      </c>
      <c r="AD59" s="65"/>
      <c r="AE59" s="74" t="s">
        <v>1953</v>
      </c>
      <c r="AF59" s="73">
        <f t="shared" si="61"/>
        <v>1</v>
      </c>
      <c r="AG59" s="65"/>
      <c r="AH59" s="74" t="s">
        <v>1974</v>
      </c>
      <c r="AI59" s="73">
        <f t="shared" si="61"/>
        <v>1</v>
      </c>
      <c r="AJ59" s="65"/>
      <c r="AK59" s="74" t="s">
        <v>1953</v>
      </c>
      <c r="AL59" s="73">
        <f t="shared" si="61"/>
        <v>1</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72</v>
      </c>
      <c r="E60" s="111"/>
      <c r="F60" s="445">
        <f t="shared" si="4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51"/>
        <v>1</v>
      </c>
      <c r="R60" s="49"/>
      <c r="S60" s="76" t="s">
        <v>1949</v>
      </c>
      <c r="T60" s="77">
        <f t="shared" si="48"/>
        <v>0</v>
      </c>
      <c r="U60" s="65"/>
      <c r="V60" s="76" t="s">
        <v>1971</v>
      </c>
      <c r="W60" s="77">
        <f t="shared" si="58"/>
        <v>0</v>
      </c>
      <c r="X60" s="65"/>
      <c r="Y60" s="76" t="s">
        <v>1949</v>
      </c>
      <c r="Z60" s="77">
        <f t="shared" si="61"/>
        <v>0</v>
      </c>
      <c r="AA60" s="65"/>
      <c r="AB60" s="76" t="s">
        <v>1943</v>
      </c>
      <c r="AC60" s="77">
        <f t="shared" si="61"/>
        <v>1</v>
      </c>
      <c r="AD60" s="65"/>
      <c r="AE60" s="76" t="s">
        <v>1949</v>
      </c>
      <c r="AF60" s="77">
        <f t="shared" si="61"/>
        <v>0</v>
      </c>
      <c r="AG60" s="65"/>
      <c r="AH60" s="76" t="s">
        <v>1949</v>
      </c>
      <c r="AI60" s="77">
        <f t="shared" si="61"/>
        <v>0</v>
      </c>
      <c r="AJ60" s="65"/>
      <c r="AK60" s="76" t="s">
        <v>1949</v>
      </c>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0</v>
      </c>
      <c r="E61" s="111"/>
      <c r="F61" s="445">
        <f t="shared" si="4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51"/>
        <v>0</v>
      </c>
      <c r="R61" s="49"/>
      <c r="S61" s="74" t="s">
        <v>1948</v>
      </c>
      <c r="T61" s="73">
        <f t="shared" si="48"/>
        <v>4</v>
      </c>
      <c r="U61" s="65"/>
      <c r="V61" s="74" t="s">
        <v>1951</v>
      </c>
      <c r="W61" s="73">
        <f t="shared" si="58"/>
        <v>0</v>
      </c>
      <c r="X61" s="65"/>
      <c r="Y61" s="74" t="s">
        <v>1951</v>
      </c>
      <c r="Z61" s="73">
        <f t="shared" si="61"/>
        <v>0</v>
      </c>
      <c r="AA61" s="65"/>
      <c r="AB61" s="74" t="s">
        <v>1943</v>
      </c>
      <c r="AC61" s="73">
        <f t="shared" si="61"/>
        <v>0</v>
      </c>
      <c r="AD61" s="65"/>
      <c r="AE61" s="74" t="s">
        <v>1943</v>
      </c>
      <c r="AF61" s="73">
        <f t="shared" si="61"/>
        <v>0</v>
      </c>
      <c r="AG61" s="65"/>
      <c r="AH61" s="74" t="s">
        <v>1946</v>
      </c>
      <c r="AI61" s="73">
        <f t="shared" si="61"/>
        <v>0</v>
      </c>
      <c r="AJ61" s="65"/>
      <c r="AK61" s="74" t="s">
        <v>1951</v>
      </c>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104</v>
      </c>
      <c r="E62" s="111"/>
      <c r="F62" s="445">
        <f t="shared" si="4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51"/>
        <v>2</v>
      </c>
      <c r="R62" s="49"/>
      <c r="S62" s="74" t="s">
        <v>1956</v>
      </c>
      <c r="T62" s="73">
        <f t="shared" si="48"/>
        <v>1</v>
      </c>
      <c r="U62" s="65"/>
      <c r="V62" s="74" t="s">
        <v>1945</v>
      </c>
      <c r="W62" s="73">
        <f t="shared" si="58"/>
        <v>4</v>
      </c>
      <c r="X62" s="65"/>
      <c r="Y62" s="74" t="s">
        <v>1945</v>
      </c>
      <c r="Z62" s="73">
        <f t="shared" si="61"/>
        <v>4</v>
      </c>
      <c r="AA62" s="65"/>
      <c r="AB62" s="74" t="s">
        <v>1945</v>
      </c>
      <c r="AC62" s="73">
        <f t="shared" si="61"/>
        <v>4</v>
      </c>
      <c r="AD62" s="65"/>
      <c r="AE62" s="74" t="s">
        <v>1955</v>
      </c>
      <c r="AF62" s="73">
        <f t="shared" si="61"/>
        <v>1</v>
      </c>
      <c r="AG62" s="65"/>
      <c r="AH62" s="74" t="s">
        <v>1946</v>
      </c>
      <c r="AI62" s="73">
        <f t="shared" si="61"/>
        <v>1</v>
      </c>
      <c r="AJ62" s="65"/>
      <c r="AK62" s="74" t="s">
        <v>1945</v>
      </c>
      <c r="AL62" s="73">
        <f t="shared" si="61"/>
        <v>4</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51"/>
        <v>1</v>
      </c>
      <c r="R63" s="49"/>
      <c r="S63" s="74" t="s">
        <v>1956</v>
      </c>
      <c r="T63" s="73">
        <f t="shared" si="48"/>
        <v>0</v>
      </c>
      <c r="U63" s="65"/>
      <c r="V63" s="74" t="s">
        <v>1945</v>
      </c>
      <c r="W63" s="73">
        <f t="shared" si="58"/>
        <v>0</v>
      </c>
      <c r="X63" s="65"/>
      <c r="Y63" s="74" t="s">
        <v>1949</v>
      </c>
      <c r="Z63" s="73">
        <f t="shared" si="61"/>
        <v>0</v>
      </c>
      <c r="AA63" s="65"/>
      <c r="AB63" s="74" t="s">
        <v>1949</v>
      </c>
      <c r="AC63" s="73">
        <f t="shared" si="61"/>
        <v>0</v>
      </c>
      <c r="AD63" s="65"/>
      <c r="AE63" s="74" t="s">
        <v>1945</v>
      </c>
      <c r="AF63" s="73">
        <f t="shared" si="61"/>
        <v>0</v>
      </c>
      <c r="AG63" s="65"/>
      <c r="AH63" s="74" t="s">
        <v>1949</v>
      </c>
      <c r="AI63" s="73">
        <f t="shared" si="61"/>
        <v>0</v>
      </c>
      <c r="AJ63" s="65"/>
      <c r="AK63" s="74" t="s">
        <v>1956</v>
      </c>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392</v>
      </c>
      <c r="E64" s="111"/>
      <c r="F64" s="445">
        <f t="shared" si="4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51"/>
        <v>0</v>
      </c>
      <c r="R64" s="49"/>
      <c r="S64" s="74" t="s">
        <v>1949</v>
      </c>
      <c r="T64" s="73">
        <f t="shared" si="48"/>
        <v>4</v>
      </c>
      <c r="U64" s="65"/>
      <c r="V64" s="74" t="s">
        <v>1951</v>
      </c>
      <c r="W64" s="73">
        <f t="shared" si="58"/>
        <v>0</v>
      </c>
      <c r="X64" s="65"/>
      <c r="Y64" s="74" t="s">
        <v>1945</v>
      </c>
      <c r="Z64" s="73">
        <f t="shared" si="61"/>
        <v>0</v>
      </c>
      <c r="AA64" s="65"/>
      <c r="AB64" s="74" t="s">
        <v>1943</v>
      </c>
      <c r="AC64" s="73">
        <f t="shared" si="61"/>
        <v>0</v>
      </c>
      <c r="AD64" s="65"/>
      <c r="AE64" s="74" t="s">
        <v>1949</v>
      </c>
      <c r="AF64" s="73">
        <f t="shared" si="61"/>
        <v>4</v>
      </c>
      <c r="AG64" s="65"/>
      <c r="AH64" s="74" t="s">
        <v>1944</v>
      </c>
      <c r="AI64" s="73">
        <f t="shared" si="61"/>
        <v>0</v>
      </c>
      <c r="AJ64" s="65"/>
      <c r="AK64" s="74" t="s">
        <v>1949</v>
      </c>
      <c r="AL64" s="73">
        <f t="shared" si="61"/>
        <v>4</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448</v>
      </c>
      <c r="E65" s="111"/>
      <c r="F65" s="445">
        <f t="shared" si="4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51"/>
        <v>2</v>
      </c>
      <c r="R65" s="49"/>
      <c r="S65" s="74" t="s">
        <v>1945</v>
      </c>
      <c r="T65" s="73">
        <f t="shared" si="48"/>
        <v>2</v>
      </c>
      <c r="U65" s="65"/>
      <c r="V65" s="74" t="s">
        <v>1946</v>
      </c>
      <c r="W65" s="73">
        <f t="shared" si="58"/>
        <v>1</v>
      </c>
      <c r="X65" s="65"/>
      <c r="Y65" s="74" t="s">
        <v>1957</v>
      </c>
      <c r="Z65" s="73">
        <f t="shared" si="61"/>
        <v>4</v>
      </c>
      <c r="AA65" s="65"/>
      <c r="AB65" s="74" t="s">
        <v>1945</v>
      </c>
      <c r="AC65" s="73">
        <f t="shared" si="61"/>
        <v>2</v>
      </c>
      <c r="AD65" s="65"/>
      <c r="AE65" s="74" t="s">
        <v>1955</v>
      </c>
      <c r="AF65" s="73">
        <f t="shared" si="61"/>
        <v>1</v>
      </c>
      <c r="AG65" s="65"/>
      <c r="AH65" s="74" t="s">
        <v>1957</v>
      </c>
      <c r="AI65" s="73">
        <f t="shared" si="61"/>
        <v>4</v>
      </c>
      <c r="AJ65" s="65"/>
      <c r="AK65" s="74" t="s">
        <v>1956</v>
      </c>
      <c r="AL65" s="73">
        <f t="shared" si="61"/>
        <v>1</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51"/>
        <v>0</v>
      </c>
      <c r="R66" s="49"/>
      <c r="S66" s="74" t="s">
        <v>1944</v>
      </c>
      <c r="T66" s="73">
        <f t="shared" si="48"/>
        <v>0</v>
      </c>
      <c r="U66" s="65"/>
      <c r="V66" s="74" t="s">
        <v>1945</v>
      </c>
      <c r="W66" s="73">
        <f t="shared" si="58"/>
        <v>0</v>
      </c>
      <c r="X66" s="65"/>
      <c r="Y66" s="74" t="s">
        <v>1944</v>
      </c>
      <c r="Z66" s="73">
        <f t="shared" si="61"/>
        <v>0</v>
      </c>
      <c r="AA66" s="65"/>
      <c r="AB66" s="74" t="s">
        <v>1951</v>
      </c>
      <c r="AC66" s="73">
        <f t="shared" si="61"/>
        <v>0</v>
      </c>
      <c r="AD66" s="65"/>
      <c r="AE66" s="74" t="s">
        <v>1951</v>
      </c>
      <c r="AF66" s="73">
        <f t="shared" si="61"/>
        <v>0</v>
      </c>
      <c r="AG66" s="65"/>
      <c r="AH66" s="74" t="s">
        <v>1956</v>
      </c>
      <c r="AI66" s="73">
        <f t="shared" si="61"/>
        <v>0</v>
      </c>
      <c r="AJ66" s="65"/>
      <c r="AK66" s="74" t="s">
        <v>1951</v>
      </c>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51"/>
        <v>4</v>
      </c>
      <c r="R67" s="49"/>
      <c r="S67" s="74" t="s">
        <v>1957</v>
      </c>
      <c r="T67" s="73">
        <f t="shared" si="48"/>
        <v>1</v>
      </c>
      <c r="U67" s="65"/>
      <c r="V67" s="74" t="s">
        <v>1945</v>
      </c>
      <c r="W67" s="73">
        <f t="shared" si="58"/>
        <v>1</v>
      </c>
      <c r="X67" s="65"/>
      <c r="Y67" s="74" t="s">
        <v>1955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1</v>
      </c>
      <c r="AA67" s="65"/>
      <c r="AB67" s="74" t="s">
        <v>1955</v>
      </c>
      <c r="AC67" s="73">
        <f t="shared" si="63"/>
        <v>1</v>
      </c>
      <c r="AD67" s="65"/>
      <c r="AE67" s="74" t="s">
        <v>1945</v>
      </c>
      <c r="AF67" s="73">
        <f t="shared" si="63"/>
        <v>1</v>
      </c>
      <c r="AG67" s="65"/>
      <c r="AH67" s="74" t="s">
        <v>1945</v>
      </c>
      <c r="AI67" s="73">
        <f t="shared" si="63"/>
        <v>1</v>
      </c>
      <c r="AJ67" s="65"/>
      <c r="AK67" s="74" t="s">
        <v>1945</v>
      </c>
      <c r="AL67" s="73">
        <f t="shared" si="63"/>
        <v>1</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51"/>
        <v>0</v>
      </c>
      <c r="R68" s="49"/>
      <c r="S68" s="74" t="s">
        <v>1949</v>
      </c>
      <c r="T68" s="73">
        <f t="shared" si="48"/>
        <v>2</v>
      </c>
      <c r="U68" s="65"/>
      <c r="V68" s="74" t="s">
        <v>1946</v>
      </c>
      <c r="W68" s="73">
        <f t="shared" si="58"/>
        <v>0</v>
      </c>
      <c r="X68" s="65"/>
      <c r="Y68" s="74" t="s">
        <v>1956</v>
      </c>
      <c r="Z68" s="73">
        <f t="shared" si="63"/>
        <v>0</v>
      </c>
      <c r="AA68" s="65"/>
      <c r="AB68" s="74" t="s">
        <v>1956</v>
      </c>
      <c r="AC68" s="73">
        <f t="shared" si="63"/>
        <v>0</v>
      </c>
      <c r="AD68" s="65"/>
      <c r="AE68" s="74" t="s">
        <v>1949</v>
      </c>
      <c r="AF68" s="73">
        <f t="shared" si="63"/>
        <v>2</v>
      </c>
      <c r="AG68" s="65"/>
      <c r="AH68" s="74" t="s">
        <v>1946</v>
      </c>
      <c r="AI68" s="73">
        <f t="shared" si="63"/>
        <v>0</v>
      </c>
      <c r="AJ68" s="65"/>
      <c r="AK68" s="74" t="s">
        <v>1945</v>
      </c>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51"/>
        <v>1</v>
      </c>
      <c r="R69" s="49"/>
      <c r="S69" s="74" t="s">
        <v>1955</v>
      </c>
      <c r="T69" s="73">
        <f t="shared" si="48"/>
        <v>1</v>
      </c>
      <c r="U69" s="65"/>
      <c r="V69" s="74" t="s">
        <v>1957</v>
      </c>
      <c r="W69" s="73">
        <f t="shared" si="58"/>
        <v>1</v>
      </c>
      <c r="X69" s="65"/>
      <c r="Y69" s="74" t="s">
        <v>1946</v>
      </c>
      <c r="Z69" s="73">
        <f t="shared" si="63"/>
        <v>2</v>
      </c>
      <c r="AA69" s="65"/>
      <c r="AB69" s="74" t="s">
        <v>1956</v>
      </c>
      <c r="AC69" s="73">
        <f t="shared" si="63"/>
        <v>4</v>
      </c>
      <c r="AD69" s="65"/>
      <c r="AE69" s="74" t="s">
        <v>1949</v>
      </c>
      <c r="AF69" s="73">
        <f t="shared" si="63"/>
        <v>0</v>
      </c>
      <c r="AG69" s="65"/>
      <c r="AH69" s="74" t="s">
        <v>1946</v>
      </c>
      <c r="AI69" s="73">
        <f t="shared" si="63"/>
        <v>2</v>
      </c>
      <c r="AJ69" s="65"/>
      <c r="AK69" s="74" t="s">
        <v>1956</v>
      </c>
      <c r="AL69" s="73">
        <f t="shared" si="63"/>
        <v>4</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51"/>
        <v>3</v>
      </c>
      <c r="R70" s="49"/>
      <c r="S70" s="74" t="s">
        <v>1946</v>
      </c>
      <c r="T70" s="73">
        <f t="shared" si="48"/>
        <v>1</v>
      </c>
      <c r="U70" s="65"/>
      <c r="V70" s="74" t="s">
        <v>1957</v>
      </c>
      <c r="W70" s="73">
        <f t="shared" si="58"/>
        <v>1</v>
      </c>
      <c r="X70" s="65"/>
      <c r="Y70" s="74" t="s">
        <v>1957</v>
      </c>
      <c r="Z70" s="73">
        <f t="shared" si="63"/>
        <v>1</v>
      </c>
      <c r="AA70" s="65"/>
      <c r="AB70" s="74" t="s">
        <v>1946</v>
      </c>
      <c r="AC70" s="73">
        <f t="shared" si="63"/>
        <v>1</v>
      </c>
      <c r="AD70" s="65"/>
      <c r="AE70" s="74" t="s">
        <v>1949</v>
      </c>
      <c r="AF70" s="73">
        <f t="shared" si="63"/>
        <v>0</v>
      </c>
      <c r="AG70" s="65"/>
      <c r="AH70" s="74" t="s">
        <v>1949</v>
      </c>
      <c r="AI70" s="73">
        <f t="shared" si="63"/>
        <v>0</v>
      </c>
      <c r="AJ70" s="65"/>
      <c r="AK70" s="74" t="s">
        <v>1946</v>
      </c>
      <c r="AL70" s="73">
        <f t="shared" si="63"/>
        <v>1</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65">ABS(O71-P71)</f>
        <v>5</v>
      </c>
      <c r="R71" s="49"/>
      <c r="S71" s="74" t="s">
        <v>1943</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1</v>
      </c>
      <c r="U71" s="65"/>
      <c r="V71" s="74" t="s">
        <v>1943</v>
      </c>
      <c r="W71" s="73">
        <f t="shared" si="58"/>
        <v>1</v>
      </c>
      <c r="X71" s="65"/>
      <c r="Y71" s="74" t="s">
        <v>1943</v>
      </c>
      <c r="Z71" s="73">
        <f t="shared" si="63"/>
        <v>1</v>
      </c>
      <c r="AA71" s="65"/>
      <c r="AB71" s="74" t="s">
        <v>1943</v>
      </c>
      <c r="AC71" s="73">
        <f t="shared" si="63"/>
        <v>1</v>
      </c>
      <c r="AD71" s="65"/>
      <c r="AE71" s="74" t="s">
        <v>1943</v>
      </c>
      <c r="AF71" s="73">
        <f t="shared" si="63"/>
        <v>1</v>
      </c>
      <c r="AG71" s="65"/>
      <c r="AH71" s="74" t="s">
        <v>1944</v>
      </c>
      <c r="AI71" s="73">
        <f t="shared" si="63"/>
        <v>1</v>
      </c>
      <c r="AJ71" s="65"/>
      <c r="AK71" s="74" t="s">
        <v>1943</v>
      </c>
      <c r="AL71" s="73">
        <f t="shared" si="63"/>
        <v>1</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65"/>
        <v>0</v>
      </c>
      <c r="R72" s="49"/>
      <c r="S72" s="74" t="s">
        <v>1946</v>
      </c>
      <c r="T72" s="73">
        <f t="shared" si="66"/>
        <v>0</v>
      </c>
      <c r="U72" s="65"/>
      <c r="V72" s="74" t="s">
        <v>1945</v>
      </c>
      <c r="W72" s="73">
        <f t="shared" si="58"/>
        <v>0</v>
      </c>
      <c r="X72" s="65"/>
      <c r="Y72" s="74" t="s">
        <v>1949</v>
      </c>
      <c r="Z72" s="73">
        <f t="shared" si="63"/>
        <v>2</v>
      </c>
      <c r="AA72" s="65"/>
      <c r="AB72" s="74" t="s">
        <v>1948</v>
      </c>
      <c r="AC72" s="73">
        <f t="shared" si="63"/>
        <v>2</v>
      </c>
      <c r="AD72" s="65"/>
      <c r="AE72" s="74" t="s">
        <v>1949</v>
      </c>
      <c r="AF72" s="73">
        <f t="shared" si="63"/>
        <v>2</v>
      </c>
      <c r="AG72" s="65"/>
      <c r="AH72" s="74" t="s">
        <v>1944</v>
      </c>
      <c r="AI72" s="73">
        <f t="shared" si="63"/>
        <v>0</v>
      </c>
      <c r="AJ72" s="65"/>
      <c r="AK72" s="74" t="s">
        <v>1946</v>
      </c>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65"/>
        <v>2</v>
      </c>
      <c r="R73" s="49"/>
      <c r="S73" s="74" t="s">
        <v>1946</v>
      </c>
      <c r="T73" s="73">
        <f t="shared" si="66"/>
        <v>1</v>
      </c>
      <c r="U73" s="65"/>
      <c r="V73" s="74" t="s">
        <v>1964</v>
      </c>
      <c r="W73" s="73">
        <f t="shared" si="58"/>
        <v>1</v>
      </c>
      <c r="X73" s="65"/>
      <c r="Y73" s="74" t="s">
        <v>1955</v>
      </c>
      <c r="Z73" s="73">
        <f t="shared" si="63"/>
        <v>1</v>
      </c>
      <c r="AA73" s="65"/>
      <c r="AB73" s="74" t="s">
        <v>1945</v>
      </c>
      <c r="AC73" s="73">
        <f t="shared" si="63"/>
        <v>2</v>
      </c>
      <c r="AD73" s="65"/>
      <c r="AE73" s="74" t="s">
        <v>1955</v>
      </c>
      <c r="AF73" s="73">
        <f t="shared" si="63"/>
        <v>1</v>
      </c>
      <c r="AG73" s="65"/>
      <c r="AH73" s="74" t="s">
        <v>1956</v>
      </c>
      <c r="AI73" s="73">
        <f t="shared" si="63"/>
        <v>1</v>
      </c>
      <c r="AJ73" s="65"/>
      <c r="AK73" s="74" t="s">
        <v>1945</v>
      </c>
      <c r="AL73" s="73">
        <f t="shared" si="63"/>
        <v>2</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65"/>
        <v>0</v>
      </c>
      <c r="R74" s="49"/>
      <c r="S74" s="74" t="s">
        <v>1958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1945</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63"/>
        <v>0</v>
      </c>
      <c r="AA74" s="65"/>
      <c r="AB74" s="74" t="s">
        <v>1949</v>
      </c>
      <c r="AC74" s="73">
        <f t="shared" si="63"/>
        <v>2</v>
      </c>
      <c r="AD74" s="65"/>
      <c r="AE74" s="74" t="s">
        <v>1949</v>
      </c>
      <c r="AF74" s="73">
        <f t="shared" si="63"/>
        <v>2</v>
      </c>
      <c r="AG74" s="65"/>
      <c r="AH74" s="74" t="s">
        <v>1949</v>
      </c>
      <c r="AI74" s="73">
        <f t="shared" si="63"/>
        <v>2</v>
      </c>
      <c r="AJ74" s="65"/>
      <c r="AK74" s="74" t="s">
        <v>1946</v>
      </c>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65"/>
        <v>2</v>
      </c>
      <c r="R75" s="49"/>
      <c r="S75" s="74" t="s">
        <v>1948</v>
      </c>
      <c r="T75" s="73">
        <f t="shared" si="66"/>
        <v>0</v>
      </c>
      <c r="U75" s="65"/>
      <c r="V75" s="74" t="s">
        <v>1949</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1951</v>
      </c>
      <c r="Z75" s="73">
        <f t="shared" si="63"/>
        <v>1</v>
      </c>
      <c r="AA75" s="65"/>
      <c r="AB75" s="74" t="s">
        <v>1951</v>
      </c>
      <c r="AC75" s="73">
        <f t="shared" si="63"/>
        <v>1</v>
      </c>
      <c r="AD75" s="65"/>
      <c r="AE75" s="74" t="s">
        <v>1943</v>
      </c>
      <c r="AF75" s="73">
        <f t="shared" si="63"/>
        <v>2</v>
      </c>
      <c r="AG75" s="65"/>
      <c r="AH75" s="74" t="s">
        <v>1946</v>
      </c>
      <c r="AI75" s="73">
        <f t="shared" si="63"/>
        <v>0</v>
      </c>
      <c r="AJ75" s="65"/>
      <c r="AK75" s="74" t="s">
        <v>1948</v>
      </c>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65"/>
        <v>2</v>
      </c>
      <c r="R76" s="49"/>
      <c r="S76" s="74" t="s">
        <v>1956</v>
      </c>
      <c r="T76" s="73">
        <f t="shared" si="66"/>
        <v>1</v>
      </c>
      <c r="U76" s="65"/>
      <c r="V76" s="74" t="s">
        <v>1955</v>
      </c>
      <c r="W76" s="73">
        <f t="shared" si="67"/>
        <v>1</v>
      </c>
      <c r="X76" s="65"/>
      <c r="Y76" s="74" t="s">
        <v>1955</v>
      </c>
      <c r="Z76" s="73">
        <f t="shared" si="63"/>
        <v>1</v>
      </c>
      <c r="AA76" s="65"/>
      <c r="AB76" s="74" t="s">
        <v>1956</v>
      </c>
      <c r="AC76" s="73">
        <f t="shared" si="63"/>
        <v>1</v>
      </c>
      <c r="AD76" s="65"/>
      <c r="AE76" s="74" t="s">
        <v>1945</v>
      </c>
      <c r="AF76" s="73">
        <f t="shared" si="63"/>
        <v>4</v>
      </c>
      <c r="AG76" s="65"/>
      <c r="AH76" s="74" t="s">
        <v>1975</v>
      </c>
      <c r="AI76" s="73">
        <f t="shared" si="63"/>
        <v>1</v>
      </c>
      <c r="AJ76" s="65"/>
      <c r="AK76" s="74" t="s">
        <v>1955</v>
      </c>
      <c r="AL76" s="73">
        <f t="shared" si="63"/>
        <v>1</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65"/>
        <v>1</v>
      </c>
      <c r="R77" s="49"/>
      <c r="S77" s="80" t="s">
        <v>1951</v>
      </c>
      <c r="T77" s="81">
        <f t="shared" si="66"/>
        <v>2</v>
      </c>
      <c r="U77" s="65"/>
      <c r="V77" s="80" t="s">
        <v>1944</v>
      </c>
      <c r="W77" s="81">
        <f t="shared" si="67"/>
        <v>4</v>
      </c>
      <c r="X77" s="65"/>
      <c r="Y77" s="80" t="s">
        <v>1944</v>
      </c>
      <c r="Z77" s="81">
        <f t="shared" si="63"/>
        <v>4</v>
      </c>
      <c r="AA77" s="65"/>
      <c r="AB77" s="80" t="s">
        <v>1951</v>
      </c>
      <c r="AC77" s="81">
        <f t="shared" si="63"/>
        <v>2</v>
      </c>
      <c r="AD77" s="65"/>
      <c r="AE77" s="80" t="s">
        <v>1949</v>
      </c>
      <c r="AF77" s="81">
        <f t="shared" si="63"/>
        <v>0</v>
      </c>
      <c r="AG77" s="65"/>
      <c r="AH77" s="80" t="s">
        <v>1949</v>
      </c>
      <c r="AI77" s="81">
        <f t="shared" si="63"/>
        <v>0</v>
      </c>
      <c r="AJ77" s="65"/>
      <c r="AK77" s="80" t="s">
        <v>1949</v>
      </c>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99</v>
      </c>
      <c r="U78" s="64"/>
      <c r="V78" s="82"/>
      <c r="W78" s="83">
        <f>SUM(W6:W77)</f>
        <v>59</v>
      </c>
      <c r="X78" s="64"/>
      <c r="Y78" s="82"/>
      <c r="Z78" s="83">
        <f t="shared" ref="Z78" si="68">SUM(Z6:Z77)</f>
        <v>81</v>
      </c>
      <c r="AA78" s="64"/>
      <c r="AB78" s="82"/>
      <c r="AC78" s="83">
        <f t="shared" ref="AC78" si="69">SUM(AC6:AC77)</f>
        <v>95</v>
      </c>
      <c r="AD78" s="64"/>
      <c r="AE78" s="82"/>
      <c r="AF78" s="83">
        <f t="shared" ref="AF78" si="70">SUM(AF6:AF77)</f>
        <v>75</v>
      </c>
      <c r="AG78" s="64"/>
      <c r="AH78" s="82"/>
      <c r="AI78" s="83">
        <f t="shared" ref="AI78" si="71">SUM(AI6:AI77)</f>
        <v>54</v>
      </c>
      <c r="AJ78" s="64"/>
      <c r="AK78" s="82"/>
      <c r="AL78" s="83">
        <f t="shared" ref="AL78" si="72">SUM(AL6:AL77)</f>
        <v>68</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2</v>
      </c>
      <c r="G80" s="445">
        <f ca="1">VLOOKUP(H80,Equipos!$Q$1:$R$25,2,0)</f>
        <v>15</v>
      </c>
      <c r="H80" s="446">
        <f ca="1">$H$54</f>
        <v>46198</v>
      </c>
      <c r="I80" s="50"/>
      <c r="J80" s="849"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91">($M80=V80)*$D$11</f>
        <v>2</v>
      </c>
      <c r="X80" s="64"/>
      <c r="Y80" s="76" t="s">
        <v>1843</v>
      </c>
      <c r="Z80" s="77">
        <f t="shared" ref="Z80" ca="1" si="92">($M80=Y80)*$D$11</f>
        <v>0</v>
      </c>
      <c r="AA80" s="64"/>
      <c r="AB80" s="76" t="s">
        <v>1265</v>
      </c>
      <c r="AC80" s="77">
        <f t="shared" ref="AC80" ca="1" si="93">($M80=AB80)*$D$11</f>
        <v>2</v>
      </c>
      <c r="AD80" s="64"/>
      <c r="AE80" s="76" t="s">
        <v>1843</v>
      </c>
      <c r="AF80" s="77">
        <f t="shared" ref="AF80" ca="1" si="94">($M80=AE80)*$D$11</f>
        <v>0</v>
      </c>
      <c r="AG80" s="64"/>
      <c r="AH80" s="76" t="s">
        <v>1265</v>
      </c>
      <c r="AI80" s="77">
        <f t="shared" ref="AI80" ca="1" si="95">($M80=AH80)*$D$11</f>
        <v>2</v>
      </c>
      <c r="AJ80" s="64"/>
      <c r="AK80" s="792" t="s">
        <v>1260</v>
      </c>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2</v>
      </c>
      <c r="G81" s="445">
        <f ca="1">VLOOKUP(H81,Equipos!$Q$1:$R$25,2,0)</f>
        <v>15</v>
      </c>
      <c r="H81" s="446">
        <f ca="1">$H$54</f>
        <v>46198</v>
      </c>
      <c r="I81" s="50"/>
      <c r="J81" s="849"/>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115">($M81=V81)*$D$12</f>
        <v>0</v>
      </c>
      <c r="X81" s="64"/>
      <c r="Y81" s="74" t="s">
        <v>1265</v>
      </c>
      <c r="Z81" s="73">
        <f t="shared" ref="Z81" ca="1" si="116">($M81=Y81)*$D$12</f>
        <v>0</v>
      </c>
      <c r="AA81" s="64"/>
      <c r="AB81" s="74" t="s">
        <v>1843</v>
      </c>
      <c r="AC81" s="73">
        <f t="shared" ref="AC81" ca="1" si="117">($M81=AB81)*$D$12</f>
        <v>0</v>
      </c>
      <c r="AD81" s="64"/>
      <c r="AE81" s="74" t="s">
        <v>1260</v>
      </c>
      <c r="AF81" s="73">
        <f t="shared" ref="AF81" ca="1" si="118">($M81=AE81)*$D$12</f>
        <v>0</v>
      </c>
      <c r="AG81" s="64"/>
      <c r="AH81" s="74" t="s">
        <v>1260</v>
      </c>
      <c r="AI81" s="73">
        <f t="shared" ref="AI81" ca="1" si="119">($M81=AH81)*$D$12</f>
        <v>0</v>
      </c>
      <c r="AJ81" s="64"/>
      <c r="AK81" s="792" t="s">
        <v>1265</v>
      </c>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1</v>
      </c>
      <c r="G82" s="445">
        <f ca="1">VLOOKUP(H82,Equipos!$Q$1:$R$25,2,0)</f>
        <v>15</v>
      </c>
      <c r="H82" s="446">
        <f ca="1">$H$54</f>
        <v>46198</v>
      </c>
      <c r="I82" s="50"/>
      <c r="J82" s="849"/>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139">($M82=V82)*$D$13</f>
        <v>1</v>
      </c>
      <c r="X82" s="64"/>
      <c r="Y82" s="74" t="s">
        <v>1260</v>
      </c>
      <c r="Z82" s="73">
        <f t="shared" ref="Z82" ca="1" si="140">($M82=Y82)*$D$13</f>
        <v>1</v>
      </c>
      <c r="AA82" s="64"/>
      <c r="AB82" s="74" t="s">
        <v>1260</v>
      </c>
      <c r="AC82" s="73">
        <f t="shared" ref="AC82" ca="1" si="141">($M82=AB82)*$D$13</f>
        <v>1</v>
      </c>
      <c r="AD82" s="64"/>
      <c r="AE82" s="74" t="s">
        <v>1265</v>
      </c>
      <c r="AF82" s="73">
        <f t="shared" ref="AF82" ca="1" si="142">($M82=AE82)*$D$13</f>
        <v>0</v>
      </c>
      <c r="AG82" s="64"/>
      <c r="AH82" s="74" t="s">
        <v>1843</v>
      </c>
      <c r="AI82" s="73">
        <f t="shared" ref="AI82" ca="1" si="143">($M82=AH82)*$D$13</f>
        <v>0</v>
      </c>
      <c r="AJ82" s="64"/>
      <c r="AK82" s="792" t="s">
        <v>1843</v>
      </c>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9"/>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t="s">
        <v>1630</v>
      </c>
      <c r="AC83" s="73">
        <f t="shared" ref="AC83" ca="1" si="165">($M83=AB83)*$D$14</f>
        <v>0</v>
      </c>
      <c r="AD83" s="64"/>
      <c r="AE83" s="74" t="s">
        <v>1630</v>
      </c>
      <c r="AF83" s="73">
        <f t="shared" ref="AF83" ca="1" si="166">($M83=AE83)*$D$14</f>
        <v>0</v>
      </c>
      <c r="AG83" s="64"/>
      <c r="AH83" s="74" t="s">
        <v>1630</v>
      </c>
      <c r="AI83" s="73">
        <f t="shared" ref="AI83" ca="1" si="167">($M83=AH83)*$D$14</f>
        <v>0</v>
      </c>
      <c r="AJ83" s="64"/>
      <c r="AK83" s="792" t="s">
        <v>1630</v>
      </c>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2</v>
      </c>
      <c r="G84" s="445">
        <f ca="1">VLOOKUP(H84,Equipos!$Q$1:$R$25,2,0)</f>
        <v>14</v>
      </c>
      <c r="H84" s="446">
        <f ca="1">$H$56</f>
        <v>46197</v>
      </c>
      <c r="I84" s="50"/>
      <c r="J84" s="848" t="s">
        <v>1</v>
      </c>
      <c r="K84" s="56" t="str">
        <f>Idiomas!D154</f>
        <v>1º GRUPO B</v>
      </c>
      <c r="L84" s="53"/>
      <c r="M84" s="55" t="str">
        <f ca="1">IF(OR(SUM(WORLDCUP!$AN$14:$AN$17)=12,WORLDCUP!$AJ$99=144),WORLDCUP!AL14,LEFT(K84,1)&amp;RIGHT(K84,1))</f>
        <v>Suiza</v>
      </c>
      <c r="N84" s="25"/>
      <c r="O84" s="25"/>
      <c r="P84" s="25"/>
      <c r="Q84" s="25"/>
      <c r="R84" s="110"/>
      <c r="S84" s="74" t="s">
        <v>75</v>
      </c>
      <c r="T84" s="73">
        <f t="shared" ref="T84" ca="1" si="188">($M84=S84)*$D$11</f>
        <v>2</v>
      </c>
      <c r="U84" s="64"/>
      <c r="V84" s="74" t="s">
        <v>75</v>
      </c>
      <c r="W84" s="73">
        <f t="shared" ref="W84:CH84" ca="1" si="189">($M84=V84)*$D$11</f>
        <v>2</v>
      </c>
      <c r="X84" s="64"/>
      <c r="Y84" s="74" t="s">
        <v>75</v>
      </c>
      <c r="Z84" s="73">
        <f t="shared" ca="1" si="189"/>
        <v>2</v>
      </c>
      <c r="AA84" s="64"/>
      <c r="AB84" s="74" t="s">
        <v>75</v>
      </c>
      <c r="AC84" s="73">
        <f t="shared" ca="1" si="189"/>
        <v>2</v>
      </c>
      <c r="AD84" s="64"/>
      <c r="AE84" s="74" t="s">
        <v>75</v>
      </c>
      <c r="AF84" s="73">
        <f t="shared" ca="1" si="189"/>
        <v>2</v>
      </c>
      <c r="AG84" s="64"/>
      <c r="AH84" s="74" t="s">
        <v>1259</v>
      </c>
      <c r="AI84" s="73">
        <f t="shared" ca="1" si="189"/>
        <v>0</v>
      </c>
      <c r="AJ84" s="64"/>
      <c r="AK84" s="792" t="s">
        <v>75</v>
      </c>
      <c r="AL84" s="73">
        <f t="shared" ca="1" si="189"/>
        <v>2</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2</v>
      </c>
      <c r="G85" s="445">
        <f ca="1">VLOOKUP(H85,Equipos!$Q$1:$R$25,2,0)</f>
        <v>14</v>
      </c>
      <c r="H85" s="446">
        <f ca="1">$H$56</f>
        <v>46197</v>
      </c>
      <c r="I85" s="50"/>
      <c r="J85" s="848"/>
      <c r="K85" s="56" t="str">
        <f>Idiomas!D155</f>
        <v>2º GRUPO B</v>
      </c>
      <c r="L85" s="53"/>
      <c r="M85" s="55" t="str">
        <f ca="1">IF(OR(SUM(WORLDCUP!$AN$14:$AN$17)=12,WORLDCUP!$AJ$99=144),WORLDCUP!AL15,LEFT(K85,1)&amp;RIGHT(K85,1))</f>
        <v>Canadá</v>
      </c>
      <c r="N85" s="25"/>
      <c r="O85" s="25"/>
      <c r="P85" s="25"/>
      <c r="Q85" s="25"/>
      <c r="R85" s="110"/>
      <c r="S85" s="74" t="s">
        <v>1259</v>
      </c>
      <c r="T85" s="73">
        <f t="shared" ref="T85" ca="1" si="192">($M85=S85)*$D$12</f>
        <v>2</v>
      </c>
      <c r="U85" s="64"/>
      <c r="V85" s="74" t="s">
        <v>1259</v>
      </c>
      <c r="W85" s="73">
        <f t="shared" ref="W85:CH85" ca="1" si="193">($M85=V85)*$D$12</f>
        <v>2</v>
      </c>
      <c r="X85" s="64"/>
      <c r="Y85" s="74" t="s">
        <v>1841</v>
      </c>
      <c r="Z85" s="73">
        <f t="shared" ca="1" si="193"/>
        <v>0</v>
      </c>
      <c r="AA85" s="64"/>
      <c r="AB85" s="74" t="s">
        <v>1841</v>
      </c>
      <c r="AC85" s="73">
        <f t="shared" ca="1" si="193"/>
        <v>0</v>
      </c>
      <c r="AD85" s="64"/>
      <c r="AE85" s="74" t="s">
        <v>1841</v>
      </c>
      <c r="AF85" s="73">
        <f t="shared" ca="1" si="193"/>
        <v>0</v>
      </c>
      <c r="AG85" s="64"/>
      <c r="AH85" s="74" t="s">
        <v>75</v>
      </c>
      <c r="AI85" s="73">
        <f t="shared" ca="1" si="193"/>
        <v>0</v>
      </c>
      <c r="AJ85" s="64"/>
      <c r="AK85" s="792" t="s">
        <v>1259</v>
      </c>
      <c r="AL85" s="73">
        <f t="shared" ca="1" si="193"/>
        <v>2</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1</v>
      </c>
      <c r="G86" s="445">
        <f ca="1">VLOOKUP(H86,Equipos!$Q$1:$R$25,2,0)</f>
        <v>14</v>
      </c>
      <c r="H86" s="446">
        <f ca="1">$H$56</f>
        <v>46197</v>
      </c>
      <c r="I86" s="50"/>
      <c r="J86" s="848"/>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196">($M86=S86)*$D$13</f>
        <v>1</v>
      </c>
      <c r="U86" s="64"/>
      <c r="V86" s="74" t="s">
        <v>1631</v>
      </c>
      <c r="W86" s="73">
        <f t="shared" ref="W86:CH86" ca="1" si="197">($M86=V86)*$D$13</f>
        <v>0</v>
      </c>
      <c r="X86" s="64"/>
      <c r="Y86" s="74" t="s">
        <v>1259</v>
      </c>
      <c r="Z86" s="73">
        <f t="shared" ca="1" si="197"/>
        <v>0</v>
      </c>
      <c r="AA86" s="64"/>
      <c r="AB86" s="74" t="s">
        <v>1259</v>
      </c>
      <c r="AC86" s="73">
        <f t="shared" ca="1" si="197"/>
        <v>0</v>
      </c>
      <c r="AD86" s="64"/>
      <c r="AE86" s="74" t="s">
        <v>1259</v>
      </c>
      <c r="AF86" s="73">
        <f t="shared" ca="1" si="197"/>
        <v>0</v>
      </c>
      <c r="AG86" s="64"/>
      <c r="AH86" s="74" t="s">
        <v>1841</v>
      </c>
      <c r="AI86" s="73">
        <f t="shared" ca="1" si="197"/>
        <v>1</v>
      </c>
      <c r="AJ86" s="64"/>
      <c r="AK86" s="792" t="s">
        <v>1841</v>
      </c>
      <c r="AL86" s="73">
        <f t="shared" ca="1" si="197"/>
        <v>1</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8"/>
      <c r="K87" s="56" t="str">
        <f>Idiomas!D157</f>
        <v>4º GRUPO B</v>
      </c>
      <c r="L87" s="53"/>
      <c r="M87" s="55" t="str">
        <f ca="1">IF(OR(SUM(WORLDCUP!$AN$14:$AN$17)=12,WORLDCUP!$AJ$99=144),WORLDCUP!AL17,LEFT(K87,1)&amp;RIGHT(K87,1))</f>
        <v>Catar</v>
      </c>
      <c r="N87" s="25"/>
      <c r="O87" s="25"/>
      <c r="P87" s="25"/>
      <c r="Q87" s="25"/>
      <c r="R87" s="110"/>
      <c r="S87" s="74" t="s">
        <v>1631</v>
      </c>
      <c r="T87" s="73">
        <f t="shared" ref="T87" ca="1" si="200">($M87=S87)*$D$14</f>
        <v>1</v>
      </c>
      <c r="U87" s="64"/>
      <c r="V87" s="74" t="s">
        <v>1841</v>
      </c>
      <c r="W87" s="73">
        <f t="shared" ref="W87:CH87" ca="1" si="201">($M87=V87)*$D$14</f>
        <v>0</v>
      </c>
      <c r="X87" s="64"/>
      <c r="Y87" s="74" t="s">
        <v>1631</v>
      </c>
      <c r="Z87" s="73">
        <f t="shared" ca="1" si="201"/>
        <v>1</v>
      </c>
      <c r="AA87" s="64"/>
      <c r="AB87" s="74" t="s">
        <v>1631</v>
      </c>
      <c r="AC87" s="73">
        <f t="shared" ca="1" si="201"/>
        <v>1</v>
      </c>
      <c r="AD87" s="64"/>
      <c r="AE87" s="74" t="s">
        <v>1631</v>
      </c>
      <c r="AF87" s="73">
        <f t="shared" ca="1" si="201"/>
        <v>1</v>
      </c>
      <c r="AG87" s="64"/>
      <c r="AH87" s="74" t="s">
        <v>1631</v>
      </c>
      <c r="AI87" s="73">
        <f t="shared" ca="1" si="201"/>
        <v>1</v>
      </c>
      <c r="AJ87" s="64"/>
      <c r="AK87" s="792" t="s">
        <v>1631</v>
      </c>
      <c r="AL87" s="73">
        <f t="shared" ca="1" si="201"/>
        <v>1</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2</v>
      </c>
      <c r="G88" s="445">
        <f ca="1">VLOOKUP(H88,Equipos!$Q$1:$R$25,2,0)</f>
        <v>15</v>
      </c>
      <c r="H88" s="446">
        <f ca="1">$H$58</f>
        <v>46198</v>
      </c>
      <c r="I88" s="50"/>
      <c r="J88" s="849"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204">($M88=S88)*$D$11</f>
        <v>2</v>
      </c>
      <c r="U88" s="64"/>
      <c r="V88" s="74" t="s">
        <v>1258</v>
      </c>
      <c r="W88" s="73">
        <f t="shared" ref="W88:CH88" ca="1" si="205">($M88=V88)*$D$11</f>
        <v>2</v>
      </c>
      <c r="X88" s="64"/>
      <c r="Y88" s="74" t="s">
        <v>1258</v>
      </c>
      <c r="Z88" s="73">
        <f t="shared" ca="1" si="205"/>
        <v>2</v>
      </c>
      <c r="AA88" s="64"/>
      <c r="AB88" s="74" t="s">
        <v>1258</v>
      </c>
      <c r="AC88" s="73">
        <f t="shared" ca="1" si="205"/>
        <v>2</v>
      </c>
      <c r="AD88" s="64"/>
      <c r="AE88" s="74" t="s">
        <v>1258</v>
      </c>
      <c r="AF88" s="73">
        <f t="shared" ca="1" si="205"/>
        <v>2</v>
      </c>
      <c r="AG88" s="64"/>
      <c r="AH88" s="74" t="s">
        <v>1258</v>
      </c>
      <c r="AI88" s="73">
        <f t="shared" ca="1" si="205"/>
        <v>2</v>
      </c>
      <c r="AJ88" s="64"/>
      <c r="AK88" s="792" t="s">
        <v>1258</v>
      </c>
      <c r="AL88" s="73">
        <f t="shared" ca="1" si="205"/>
        <v>2</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2</v>
      </c>
      <c r="G89" s="445">
        <f ca="1">VLOOKUP(H89,Equipos!$Q$1:$R$25,2,0)</f>
        <v>15</v>
      </c>
      <c r="H89" s="446">
        <f ca="1">$H$58</f>
        <v>46198</v>
      </c>
      <c r="I89" s="50"/>
      <c r="J89" s="849"/>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208">($M89=S89)*$D$12</f>
        <v>2</v>
      </c>
      <c r="U89" s="64"/>
      <c r="V89" s="74" t="s">
        <v>1321</v>
      </c>
      <c r="W89" s="73">
        <f t="shared" ref="W89:CH89" ca="1" si="209">($M89=V89)*$D$12</f>
        <v>2</v>
      </c>
      <c r="X89" s="64"/>
      <c r="Y89" s="74" t="s">
        <v>1321</v>
      </c>
      <c r="Z89" s="73">
        <f t="shared" ca="1" si="209"/>
        <v>2</v>
      </c>
      <c r="AA89" s="64"/>
      <c r="AB89" s="74" t="s">
        <v>1321</v>
      </c>
      <c r="AC89" s="73">
        <f t="shared" ca="1" si="209"/>
        <v>2</v>
      </c>
      <c r="AD89" s="64"/>
      <c r="AE89" s="74" t="s">
        <v>1321</v>
      </c>
      <c r="AF89" s="73">
        <f t="shared" ca="1" si="209"/>
        <v>2</v>
      </c>
      <c r="AG89" s="64"/>
      <c r="AH89" s="74" t="s">
        <v>134</v>
      </c>
      <c r="AI89" s="73">
        <f t="shared" ca="1" si="209"/>
        <v>0</v>
      </c>
      <c r="AJ89" s="64"/>
      <c r="AK89" s="792" t="s">
        <v>1321</v>
      </c>
      <c r="AL89" s="73">
        <f t="shared" ca="1" si="209"/>
        <v>2</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1</v>
      </c>
      <c r="G90" s="445">
        <f ca="1">VLOOKUP(H90,Equipos!$Q$1:$R$25,2,0)</f>
        <v>15</v>
      </c>
      <c r="H90" s="446">
        <f ca="1">$H$58</f>
        <v>46198</v>
      </c>
      <c r="I90" s="50"/>
      <c r="J90" s="849"/>
      <c r="K90" s="56" t="str">
        <f>Idiomas!D160</f>
        <v>3º GRUPO C</v>
      </c>
      <c r="L90" s="53"/>
      <c r="M90" s="55" t="str">
        <f ca="1">IF(OR(SUM(WORLDCUP!$AN$22:$AN$25)=12,WORLDCUP!$AJ$99=144),WORLDCUP!AL24,LEFT(K90,1)&amp;RIGHT(K90,1))</f>
        <v>Escocia</v>
      </c>
      <c r="N90" s="25"/>
      <c r="O90" s="25"/>
      <c r="P90" s="25"/>
      <c r="Q90" s="25"/>
      <c r="R90" s="110"/>
      <c r="S90" s="74" t="s">
        <v>134</v>
      </c>
      <c r="T90" s="73">
        <f t="shared" ref="T90" ca="1" si="212">($M90=S90)*$D$13</f>
        <v>1</v>
      </c>
      <c r="U90" s="64"/>
      <c r="V90" s="74" t="s">
        <v>1728</v>
      </c>
      <c r="W90" s="73">
        <f t="shared" ref="W90:CH90" ca="1" si="213">($M90=V90)*$D$13</f>
        <v>0</v>
      </c>
      <c r="X90" s="64"/>
      <c r="Y90" s="74" t="s">
        <v>134</v>
      </c>
      <c r="Z90" s="73">
        <f t="shared" ca="1" si="213"/>
        <v>1</v>
      </c>
      <c r="AA90" s="64"/>
      <c r="AB90" s="74" t="s">
        <v>134</v>
      </c>
      <c r="AC90" s="73">
        <f t="shared" ca="1" si="213"/>
        <v>1</v>
      </c>
      <c r="AD90" s="64"/>
      <c r="AE90" s="74" t="s">
        <v>134</v>
      </c>
      <c r="AF90" s="73">
        <f t="shared" ca="1" si="213"/>
        <v>1</v>
      </c>
      <c r="AG90" s="64"/>
      <c r="AH90" s="74" t="s">
        <v>1321</v>
      </c>
      <c r="AI90" s="73">
        <f t="shared" ca="1" si="213"/>
        <v>0</v>
      </c>
      <c r="AJ90" s="64"/>
      <c r="AK90" s="792" t="s">
        <v>134</v>
      </c>
      <c r="AL90" s="73">
        <f t="shared" ca="1" si="213"/>
        <v>1</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9"/>
      <c r="K91" s="56" t="str">
        <f>Idiomas!D161</f>
        <v>4º GRUPO C</v>
      </c>
      <c r="L91" s="53"/>
      <c r="M91" s="55" t="str">
        <f ca="1">IF(OR(SUM(WORLDCUP!$AN$22:$AN$25)=12,WORLDCUP!$AJ$99=144),WORLDCUP!AL25,LEFT(K91,1)&amp;RIGHT(K91,1))</f>
        <v>Haití</v>
      </c>
      <c r="N91" s="25"/>
      <c r="O91" s="25"/>
      <c r="P91" s="25"/>
      <c r="Q91" s="25"/>
      <c r="R91" s="110"/>
      <c r="S91" s="74" t="s">
        <v>1728</v>
      </c>
      <c r="T91" s="73">
        <f t="shared" ref="T91" ca="1" si="216">($M91=S91)*$D$14</f>
        <v>1</v>
      </c>
      <c r="U91" s="64"/>
      <c r="V91" s="74" t="s">
        <v>134</v>
      </c>
      <c r="W91" s="73">
        <f t="shared" ref="W91:CH91" ca="1" si="217">($M91=V91)*$D$14</f>
        <v>0</v>
      </c>
      <c r="X91" s="64"/>
      <c r="Y91" s="74" t="s">
        <v>1728</v>
      </c>
      <c r="Z91" s="73">
        <f t="shared" ca="1" si="217"/>
        <v>1</v>
      </c>
      <c r="AA91" s="64"/>
      <c r="AB91" s="74" t="s">
        <v>1728</v>
      </c>
      <c r="AC91" s="73">
        <f t="shared" ca="1" si="217"/>
        <v>1</v>
      </c>
      <c r="AD91" s="64"/>
      <c r="AE91" s="74" t="s">
        <v>1728</v>
      </c>
      <c r="AF91" s="73">
        <f t="shared" ca="1" si="217"/>
        <v>1</v>
      </c>
      <c r="AG91" s="64"/>
      <c r="AH91" s="74" t="s">
        <v>1728</v>
      </c>
      <c r="AI91" s="73">
        <f t="shared" ca="1" si="217"/>
        <v>1</v>
      </c>
      <c r="AJ91" s="64"/>
      <c r="AK91" s="792" t="s">
        <v>1728</v>
      </c>
      <c r="AL91" s="73">
        <f t="shared" ca="1" si="217"/>
        <v>1</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2</v>
      </c>
      <c r="G92" s="445">
        <f ca="1">VLOOKUP(H92,Equipos!$Q$1:$R$25,2,0)</f>
        <v>16</v>
      </c>
      <c r="H92" s="446">
        <f ca="1">$H$60</f>
        <v>46199</v>
      </c>
      <c r="I92" s="50"/>
      <c r="J92" s="848"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220">($M92=S92)*$D$11</f>
        <v>2</v>
      </c>
      <c r="U92" s="64"/>
      <c r="V92" s="74" t="s">
        <v>497</v>
      </c>
      <c r="W92" s="73">
        <f t="shared" ref="W92:CH92" ca="1" si="221">($M92=V92)*$D$11</f>
        <v>2</v>
      </c>
      <c r="X92" s="64"/>
      <c r="Y92" s="74" t="s">
        <v>1835</v>
      </c>
      <c r="Z92" s="73">
        <f t="shared" ca="1" si="221"/>
        <v>0</v>
      </c>
      <c r="AA92" s="64"/>
      <c r="AB92" s="74" t="s">
        <v>1835</v>
      </c>
      <c r="AC92" s="73">
        <f t="shared" ca="1" si="221"/>
        <v>0</v>
      </c>
      <c r="AD92" s="64"/>
      <c r="AE92" s="74" t="s">
        <v>1835</v>
      </c>
      <c r="AF92" s="73">
        <f t="shared" ca="1" si="221"/>
        <v>0</v>
      </c>
      <c r="AG92" s="64"/>
      <c r="AH92" s="74" t="s">
        <v>497</v>
      </c>
      <c r="AI92" s="73">
        <f t="shared" ca="1" si="221"/>
        <v>2</v>
      </c>
      <c r="AJ92" s="64"/>
      <c r="AK92" s="792" t="s">
        <v>1835</v>
      </c>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2</v>
      </c>
      <c r="G93" s="445">
        <f ca="1">VLOOKUP(H93,Equipos!$Q$1:$R$25,2,0)</f>
        <v>16</v>
      </c>
      <c r="H93" s="446">
        <f ca="1">$H$60</f>
        <v>46199</v>
      </c>
      <c r="I93" s="50"/>
      <c r="J93" s="848"/>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224">($M93=S93)*$D$12</f>
        <v>0</v>
      </c>
      <c r="U93" s="64"/>
      <c r="V93" s="74" t="s">
        <v>1835</v>
      </c>
      <c r="W93" s="73">
        <f t="shared" ref="W93:CH93" ca="1" si="225">($M93=V93)*$D$12</f>
        <v>0</v>
      </c>
      <c r="X93" s="64"/>
      <c r="Y93" s="74" t="s">
        <v>497</v>
      </c>
      <c r="Z93" s="73">
        <f t="shared" ca="1" si="225"/>
        <v>0</v>
      </c>
      <c r="AA93" s="64"/>
      <c r="AB93" s="74" t="s">
        <v>1319</v>
      </c>
      <c r="AC93" s="73">
        <f t="shared" ca="1" si="225"/>
        <v>0</v>
      </c>
      <c r="AD93" s="64"/>
      <c r="AE93" s="74" t="s">
        <v>497</v>
      </c>
      <c r="AF93" s="73">
        <f t="shared" ca="1" si="225"/>
        <v>0</v>
      </c>
      <c r="AG93" s="64"/>
      <c r="AH93" s="74" t="s">
        <v>1257</v>
      </c>
      <c r="AI93" s="73">
        <f t="shared" ca="1" si="225"/>
        <v>2</v>
      </c>
      <c r="AJ93" s="64"/>
      <c r="AK93" s="792" t="s">
        <v>497</v>
      </c>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1</v>
      </c>
      <c r="G94" s="445">
        <f ca="1">VLOOKUP(H94,Equipos!$Q$1:$R$25,2,0)</f>
        <v>16</v>
      </c>
      <c r="H94" s="446">
        <f ca="1">$H$60</f>
        <v>46199</v>
      </c>
      <c r="I94" s="50"/>
      <c r="J94" s="848"/>
      <c r="K94" s="56" t="str">
        <f>Idiomas!D164</f>
        <v>3º GRUPO D</v>
      </c>
      <c r="L94" s="53"/>
      <c r="M94" s="55" t="str">
        <f ca="1">IF(OR(SUM(WORLDCUP!$AN$30:$AN$33)=12,WORLDCUP!$AJ$99=144),WORLDCUP!AL32,LEFT(K94,1)&amp;RIGHT(K94,1))</f>
        <v>Paraguay</v>
      </c>
      <c r="N94" s="25"/>
      <c r="O94" s="25"/>
      <c r="P94" s="25"/>
      <c r="Q94" s="25"/>
      <c r="R94" s="110"/>
      <c r="S94" s="74" t="s">
        <v>1257</v>
      </c>
      <c r="T94" s="73">
        <f t="shared" ref="T94" ca="1" si="228">($M94=S94)*$D$13</f>
        <v>0</v>
      </c>
      <c r="U94" s="64"/>
      <c r="V94" s="74" t="s">
        <v>1319</v>
      </c>
      <c r="W94" s="73">
        <f t="shared" ref="W94:CH94" ca="1" si="229">($M94=V94)*$D$13</f>
        <v>1</v>
      </c>
      <c r="X94" s="64"/>
      <c r="Y94" s="74" t="s">
        <v>1319</v>
      </c>
      <c r="Z94" s="73">
        <f t="shared" ca="1" si="229"/>
        <v>1</v>
      </c>
      <c r="AA94" s="64"/>
      <c r="AB94" s="74" t="s">
        <v>497</v>
      </c>
      <c r="AC94" s="73">
        <f t="shared" ca="1" si="229"/>
        <v>0</v>
      </c>
      <c r="AD94" s="64"/>
      <c r="AE94" s="74" t="s">
        <v>1319</v>
      </c>
      <c r="AF94" s="73">
        <f t="shared" ca="1" si="229"/>
        <v>1</v>
      </c>
      <c r="AG94" s="64"/>
      <c r="AH94" s="74" t="s">
        <v>1835</v>
      </c>
      <c r="AI94" s="73">
        <f t="shared" ca="1" si="229"/>
        <v>0</v>
      </c>
      <c r="AJ94" s="64"/>
      <c r="AK94" s="792" t="s">
        <v>1319</v>
      </c>
      <c r="AL94" s="73">
        <f t="shared" ca="1" si="229"/>
        <v>1</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8"/>
      <c r="K95" s="56" t="str">
        <f>Idiomas!D165</f>
        <v>4º GRUPO D</v>
      </c>
      <c r="L95" s="53"/>
      <c r="M95" s="55" t="str">
        <f ca="1">IF(OR(SUM(WORLDCUP!$AN$30:$AN$33)=12,WORLDCUP!$AJ$99=144),WORLDCUP!AL33,LEFT(K95,1)&amp;RIGHT(K95,1))</f>
        <v>Turquía</v>
      </c>
      <c r="N95" s="25"/>
      <c r="O95" s="25"/>
      <c r="P95" s="25"/>
      <c r="Q95" s="25"/>
      <c r="R95" s="110"/>
      <c r="S95" s="74" t="s">
        <v>1319</v>
      </c>
      <c r="T95" s="73">
        <f t="shared" ref="T95" ca="1" si="232">($M95=S95)*$D$14</f>
        <v>0</v>
      </c>
      <c r="U95" s="64"/>
      <c r="V95" s="74" t="s">
        <v>1257</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1319</v>
      </c>
      <c r="AI95" s="73">
        <f t="shared" ca="1" si="233"/>
        <v>0</v>
      </c>
      <c r="AJ95" s="64"/>
      <c r="AK95" s="792" t="s">
        <v>1257</v>
      </c>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2</v>
      </c>
      <c r="G96" s="445">
        <f ca="1">VLOOKUP(H96,Equipos!$Q$1:$R$25,2,0)</f>
        <v>16</v>
      </c>
      <c r="H96" s="446">
        <f ca="1">$H$62</f>
        <v>46199</v>
      </c>
      <c r="I96" s="50"/>
      <c r="J96" s="849"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236">($M96=S96)*$D$11</f>
        <v>2</v>
      </c>
      <c r="U96" s="64"/>
      <c r="V96" s="74" t="s">
        <v>77</v>
      </c>
      <c r="W96" s="73">
        <f t="shared" ref="W96:CH96" ca="1" si="237">($M96=V96)*$D$11</f>
        <v>2</v>
      </c>
      <c r="X96" s="64"/>
      <c r="Y96" s="74" t="s">
        <v>77</v>
      </c>
      <c r="Z96" s="73">
        <f t="shared" ca="1" si="237"/>
        <v>2</v>
      </c>
      <c r="AA96" s="64"/>
      <c r="AB96" s="74" t="s">
        <v>77</v>
      </c>
      <c r="AC96" s="73">
        <f t="shared" ca="1" si="237"/>
        <v>2</v>
      </c>
      <c r="AD96" s="64"/>
      <c r="AE96" s="74" t="s">
        <v>77</v>
      </c>
      <c r="AF96" s="73">
        <f t="shared" ca="1" si="237"/>
        <v>2</v>
      </c>
      <c r="AG96" s="64"/>
      <c r="AH96" s="74" t="s">
        <v>77</v>
      </c>
      <c r="AI96" s="73">
        <f t="shared" ca="1" si="237"/>
        <v>2</v>
      </c>
      <c r="AJ96" s="64"/>
      <c r="AK96" s="792" t="s">
        <v>77</v>
      </c>
      <c r="AL96" s="73">
        <f t="shared" ca="1" si="237"/>
        <v>2</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2</v>
      </c>
      <c r="G97" s="445">
        <f ca="1">VLOOKUP(H97,Equipos!$Q$1:$R$25,2,0)</f>
        <v>16</v>
      </c>
      <c r="H97" s="446">
        <f ca="1">$H$62</f>
        <v>46199</v>
      </c>
      <c r="I97" s="50"/>
      <c r="J97" s="849"/>
      <c r="K97" s="56" t="str">
        <f>Idiomas!D167</f>
        <v>2º GRUPO E</v>
      </c>
      <c r="L97" s="53"/>
      <c r="M97" s="55" t="str">
        <f ca="1">IF(OR(SUM(WORLDCUP!$AN$38:$AN$41)=12,WORLDCUP!$AJ$99=144),WORLDCUP!AL39,LEFT(K97,1)&amp;RIGHT(K97,1))</f>
        <v>Costa de Marfil</v>
      </c>
      <c r="N97" s="25"/>
      <c r="O97" s="25"/>
      <c r="P97" s="25"/>
      <c r="Q97" s="25"/>
      <c r="R97" s="110"/>
      <c r="S97" s="74" t="s">
        <v>1261</v>
      </c>
      <c r="T97" s="73">
        <f t="shared" ref="T97" ca="1" si="240">($M97=S97)*$D$12</f>
        <v>0</v>
      </c>
      <c r="U97" s="64"/>
      <c r="V97" s="74" t="s">
        <v>1633</v>
      </c>
      <c r="W97" s="73">
        <f t="shared" ref="W97:CH97" ca="1" si="241">($M97=V97)*$D$12</f>
        <v>2</v>
      </c>
      <c r="X97" s="64"/>
      <c r="Y97" s="74" t="s">
        <v>1261</v>
      </c>
      <c r="Z97" s="73">
        <f t="shared" ca="1" si="241"/>
        <v>0</v>
      </c>
      <c r="AA97" s="64"/>
      <c r="AB97" s="74" t="s">
        <v>1261</v>
      </c>
      <c r="AC97" s="73">
        <f t="shared" ca="1" si="241"/>
        <v>0</v>
      </c>
      <c r="AD97" s="64"/>
      <c r="AE97" s="74" t="s">
        <v>1633</v>
      </c>
      <c r="AF97" s="73">
        <f t="shared" ca="1" si="241"/>
        <v>2</v>
      </c>
      <c r="AG97" s="64"/>
      <c r="AH97" s="74" t="s">
        <v>1261</v>
      </c>
      <c r="AI97" s="73">
        <f t="shared" ca="1" si="241"/>
        <v>0</v>
      </c>
      <c r="AJ97" s="64"/>
      <c r="AK97" s="792" t="s">
        <v>1261</v>
      </c>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1</v>
      </c>
      <c r="G98" s="445">
        <f ca="1">VLOOKUP(H98,Equipos!$Q$1:$R$25,2,0)</f>
        <v>16</v>
      </c>
      <c r="H98" s="446">
        <f ca="1">$H$62</f>
        <v>46199</v>
      </c>
      <c r="I98" s="50"/>
      <c r="J98" s="849"/>
      <c r="K98" s="56" t="str">
        <f>Idiomas!D168</f>
        <v>3º GRUPO E</v>
      </c>
      <c r="L98" s="53"/>
      <c r="M98" s="55" t="str">
        <f ca="1">IF(OR(SUM(WORLDCUP!$AN$38:$AN$41)=12,WORLDCUP!$AJ$99=144),WORLDCUP!AL40,LEFT(K98,1)&amp;RIGHT(K98,1))</f>
        <v>Ecuador</v>
      </c>
      <c r="N98" s="25"/>
      <c r="O98" s="25"/>
      <c r="P98" s="25"/>
      <c r="Q98" s="25"/>
      <c r="R98" s="110"/>
      <c r="S98" s="74" t="s">
        <v>1633</v>
      </c>
      <c r="T98" s="73">
        <f t="shared" ref="T98" ca="1" si="244">($M98=S98)*$D$13</f>
        <v>0</v>
      </c>
      <c r="U98" s="64"/>
      <c r="V98" s="74" t="s">
        <v>1261</v>
      </c>
      <c r="W98" s="73">
        <f t="shared" ref="W98:CH98" ca="1" si="245">($M98=V98)*$D$13</f>
        <v>1</v>
      </c>
      <c r="X98" s="64"/>
      <c r="Y98" s="74" t="s">
        <v>1633</v>
      </c>
      <c r="Z98" s="73">
        <f t="shared" ca="1" si="245"/>
        <v>0</v>
      </c>
      <c r="AA98" s="64"/>
      <c r="AB98" s="74" t="s">
        <v>1633</v>
      </c>
      <c r="AC98" s="73">
        <f t="shared" ca="1" si="245"/>
        <v>0</v>
      </c>
      <c r="AD98" s="64"/>
      <c r="AE98" s="74" t="s">
        <v>1261</v>
      </c>
      <c r="AF98" s="73">
        <f t="shared" ca="1" si="245"/>
        <v>1</v>
      </c>
      <c r="AG98" s="64"/>
      <c r="AH98" s="74" t="s">
        <v>1633</v>
      </c>
      <c r="AI98" s="73">
        <f t="shared" ca="1" si="245"/>
        <v>0</v>
      </c>
      <c r="AJ98" s="64"/>
      <c r="AK98" s="792" t="s">
        <v>1633</v>
      </c>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9"/>
      <c r="K99" s="56" t="str">
        <f>Idiomas!D169</f>
        <v>4º GRUPO E</v>
      </c>
      <c r="L99" s="53"/>
      <c r="M99" s="55" t="str">
        <f ca="1">IF(OR(SUM(WORLDCUP!$AN$38:$AN$41)=12,WORLDCUP!$AJ$99=144),WORLDCUP!AL41,LEFT(K99,1)&amp;RIGHT(K99,1))</f>
        <v>Curazao</v>
      </c>
      <c r="N99" s="25"/>
      <c r="O99" s="25"/>
      <c r="P99" s="25"/>
      <c r="Q99" s="25"/>
      <c r="R99" s="110"/>
      <c r="S99" s="74" t="s">
        <v>1726</v>
      </c>
      <c r="T99" s="73">
        <f t="shared" ref="T99" ca="1" si="248">($M99=S99)*$D$14</f>
        <v>1</v>
      </c>
      <c r="U99" s="64"/>
      <c r="V99" s="74" t="s">
        <v>1726</v>
      </c>
      <c r="W99" s="73">
        <f t="shared" ref="W99:CH99" ca="1" si="249">($M99=V99)*$D$14</f>
        <v>1</v>
      </c>
      <c r="X99" s="64"/>
      <c r="Y99" s="74" t="s">
        <v>1726</v>
      </c>
      <c r="Z99" s="73">
        <f t="shared" ca="1" si="249"/>
        <v>1</v>
      </c>
      <c r="AA99" s="64"/>
      <c r="AB99" s="74" t="s">
        <v>1726</v>
      </c>
      <c r="AC99" s="73">
        <f t="shared" ca="1" si="249"/>
        <v>1</v>
      </c>
      <c r="AD99" s="64"/>
      <c r="AE99" s="74" t="s">
        <v>1726</v>
      </c>
      <c r="AF99" s="73">
        <f t="shared" ca="1" si="249"/>
        <v>1</v>
      </c>
      <c r="AG99" s="64"/>
      <c r="AH99" s="74" t="s">
        <v>1726</v>
      </c>
      <c r="AI99" s="73">
        <f t="shared" ca="1" si="249"/>
        <v>1</v>
      </c>
      <c r="AJ99" s="64"/>
      <c r="AK99" s="792" t="s">
        <v>1726</v>
      </c>
      <c r="AL99" s="73">
        <f t="shared" ca="1" si="249"/>
        <v>1</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2</v>
      </c>
      <c r="G100" s="445">
        <f ca="1">VLOOKUP(H100,Equipos!$Q$1:$R$25,2,0)</f>
        <v>16</v>
      </c>
      <c r="H100" s="446">
        <f ca="1">$H$64</f>
        <v>46199</v>
      </c>
      <c r="I100" s="50"/>
      <c r="J100" s="848" t="s">
        <v>4</v>
      </c>
      <c r="K100" s="56" t="str">
        <f>Idiomas!D170</f>
        <v>1º GRUPO F</v>
      </c>
      <c r="L100" s="53"/>
      <c r="M100" s="55" t="str">
        <f ca="1">IF(OR(SUM(WORLDCUP!$AN$46:$AN$49)=12,WORLDCUP!$AJ$99=144),WORLDCUP!AL46,LEFT(K100,1)&amp;RIGHT(K100,1))</f>
        <v>Países Bajos</v>
      </c>
      <c r="N100" s="25"/>
      <c r="O100" s="25"/>
      <c r="P100" s="25"/>
      <c r="Q100" s="25"/>
      <c r="R100" s="110"/>
      <c r="S100" s="74" t="s">
        <v>111</v>
      </c>
      <c r="T100" s="73">
        <f t="shared" ref="T100" ca="1" si="252">($M100=S100)*$D$11</f>
        <v>2</v>
      </c>
      <c r="U100" s="64"/>
      <c r="V100" s="74" t="s">
        <v>111</v>
      </c>
      <c r="W100" s="73">
        <f t="shared" ref="W100:CH100" ca="1" si="253">($M100=V100)*$D$11</f>
        <v>2</v>
      </c>
      <c r="X100" s="64"/>
      <c r="Y100" s="74" t="s">
        <v>111</v>
      </c>
      <c r="Z100" s="73">
        <f t="shared" ca="1" si="253"/>
        <v>2</v>
      </c>
      <c r="AA100" s="64"/>
      <c r="AB100" s="74" t="s">
        <v>111</v>
      </c>
      <c r="AC100" s="73">
        <f t="shared" ca="1" si="253"/>
        <v>2</v>
      </c>
      <c r="AD100" s="64"/>
      <c r="AE100" s="74" t="s">
        <v>1263</v>
      </c>
      <c r="AF100" s="73">
        <f t="shared" ca="1" si="253"/>
        <v>0</v>
      </c>
      <c r="AG100" s="64"/>
      <c r="AH100" s="74" t="s">
        <v>111</v>
      </c>
      <c r="AI100" s="73">
        <f t="shared" ca="1" si="253"/>
        <v>2</v>
      </c>
      <c r="AJ100" s="64"/>
      <c r="AK100" s="792" t="s">
        <v>111</v>
      </c>
      <c r="AL100" s="73">
        <f t="shared" ca="1" si="253"/>
        <v>2</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2</v>
      </c>
      <c r="G101" s="445">
        <f ca="1">VLOOKUP(H101,Equipos!$Q$1:$R$25,2,0)</f>
        <v>16</v>
      </c>
      <c r="H101" s="446">
        <f ca="1">$H$64</f>
        <v>46199</v>
      </c>
      <c r="I101" s="50"/>
      <c r="J101" s="848"/>
      <c r="K101" s="56" t="str">
        <f>Idiomas!D171</f>
        <v>2º GRUPO F</v>
      </c>
      <c r="L101" s="53"/>
      <c r="M101" s="55" t="str">
        <f ca="1">IF(OR(SUM(WORLDCUP!$AN$46:$AN$49)=12,WORLDCUP!$AJ$99=144),WORLDCUP!AL47,LEFT(K101,1)&amp;RIGHT(K101,1))</f>
        <v>Japón</v>
      </c>
      <c r="N101" s="25"/>
      <c r="O101" s="25"/>
      <c r="P101" s="25"/>
      <c r="Q101" s="25"/>
      <c r="R101" s="110"/>
      <c r="S101" s="74" t="s">
        <v>1263</v>
      </c>
      <c r="T101" s="73">
        <f t="shared" ref="T101" ca="1" si="256">($M101=S101)*$D$12</f>
        <v>2</v>
      </c>
      <c r="U101" s="64"/>
      <c r="V101" s="74" t="s">
        <v>1263</v>
      </c>
      <c r="W101" s="73">
        <f t="shared" ref="W101:CH101" ca="1" si="257">($M101=V101)*$D$12</f>
        <v>2</v>
      </c>
      <c r="X101" s="64"/>
      <c r="Y101" s="74" t="s">
        <v>1833</v>
      </c>
      <c r="Z101" s="73">
        <f t="shared" ca="1" si="257"/>
        <v>0</v>
      </c>
      <c r="AA101" s="64"/>
      <c r="AB101" s="74" t="s">
        <v>1263</v>
      </c>
      <c r="AC101" s="73">
        <f t="shared" ca="1" si="257"/>
        <v>2</v>
      </c>
      <c r="AD101" s="64"/>
      <c r="AE101" s="74" t="s">
        <v>111</v>
      </c>
      <c r="AF101" s="73">
        <f t="shared" ca="1" si="257"/>
        <v>0</v>
      </c>
      <c r="AG101" s="64"/>
      <c r="AH101" s="74" t="s">
        <v>1263</v>
      </c>
      <c r="AI101" s="73">
        <f t="shared" ca="1" si="257"/>
        <v>2</v>
      </c>
      <c r="AJ101" s="64"/>
      <c r="AK101" s="792" t="s">
        <v>1833</v>
      </c>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1</v>
      </c>
      <c r="G102" s="445">
        <f ca="1">VLOOKUP(H102,Equipos!$Q$1:$R$25,2,0)</f>
        <v>16</v>
      </c>
      <c r="H102" s="446">
        <f ca="1">$H$64</f>
        <v>46199</v>
      </c>
      <c r="I102" s="50"/>
      <c r="J102" s="848"/>
      <c r="K102" s="56" t="str">
        <f>Idiomas!D172</f>
        <v>3º GRUPO F</v>
      </c>
      <c r="L102" s="53"/>
      <c r="M102" s="55" t="str">
        <f ca="1">IF(OR(SUM(WORLDCUP!$AN$46:$AN$49)=12,WORLDCUP!$AJ$99=144),WORLDCUP!AL48,LEFT(K102,1)&amp;RIGHT(K102,1))</f>
        <v>Suecia</v>
      </c>
      <c r="N102" s="25"/>
      <c r="O102" s="25"/>
      <c r="P102" s="25"/>
      <c r="Q102" s="25"/>
      <c r="R102" s="110"/>
      <c r="S102" s="74" t="s">
        <v>1833</v>
      </c>
      <c r="T102" s="73">
        <f t="shared" ref="T102" ca="1" si="260">($M102=S102)*$D$13</f>
        <v>1</v>
      </c>
      <c r="U102" s="64"/>
      <c r="V102" s="74" t="s">
        <v>1833</v>
      </c>
      <c r="W102" s="73">
        <f t="shared" ref="W102:CH102" ca="1" si="261">($M102=V102)*$D$13</f>
        <v>1</v>
      </c>
      <c r="X102" s="64"/>
      <c r="Y102" s="74" t="s">
        <v>1322</v>
      </c>
      <c r="Z102" s="73">
        <f t="shared" ca="1" si="261"/>
        <v>0</v>
      </c>
      <c r="AA102" s="64"/>
      <c r="AB102" s="74" t="s">
        <v>1322</v>
      </c>
      <c r="AC102" s="73">
        <f t="shared" ca="1" si="261"/>
        <v>0</v>
      </c>
      <c r="AD102" s="64"/>
      <c r="AE102" s="74" t="s">
        <v>1833</v>
      </c>
      <c r="AF102" s="73">
        <f t="shared" ca="1" si="261"/>
        <v>1</v>
      </c>
      <c r="AG102" s="64"/>
      <c r="AH102" s="74" t="s">
        <v>1833</v>
      </c>
      <c r="AI102" s="73">
        <f t="shared" ca="1" si="261"/>
        <v>1</v>
      </c>
      <c r="AJ102" s="64"/>
      <c r="AK102" s="792" t="s">
        <v>1263</v>
      </c>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8"/>
      <c r="K103" s="56" t="str">
        <f>Idiomas!D173</f>
        <v>4º GRUPO F</v>
      </c>
      <c r="L103" s="53"/>
      <c r="M103" s="55" t="str">
        <f ca="1">IF(OR(SUM(WORLDCUP!$AN$46:$AN$49)=12,WORLDCUP!$AJ$99=144),WORLDCUP!AL49,LEFT(K103,1)&amp;RIGHT(K103,1))</f>
        <v>Túnez</v>
      </c>
      <c r="N103" s="25"/>
      <c r="O103" s="25"/>
      <c r="P103" s="25"/>
      <c r="Q103" s="25"/>
      <c r="R103" s="110"/>
      <c r="S103" s="74" t="s">
        <v>1322</v>
      </c>
      <c r="T103" s="73">
        <f t="shared" ref="T103" ca="1" si="264">($M103=S103)*$D$14</f>
        <v>1</v>
      </c>
      <c r="U103" s="64"/>
      <c r="V103" s="74" t="s">
        <v>1322</v>
      </c>
      <c r="W103" s="73">
        <f t="shared" ref="W103:CH103" ca="1" si="265">($M103=V103)*$D$14</f>
        <v>1</v>
      </c>
      <c r="X103" s="64"/>
      <c r="Y103" s="74" t="s">
        <v>1263</v>
      </c>
      <c r="Z103" s="73">
        <f t="shared" ca="1" si="265"/>
        <v>0</v>
      </c>
      <c r="AA103" s="64"/>
      <c r="AB103" s="74" t="s">
        <v>1833</v>
      </c>
      <c r="AC103" s="73">
        <f t="shared" ca="1" si="265"/>
        <v>0</v>
      </c>
      <c r="AD103" s="64"/>
      <c r="AE103" s="74" t="s">
        <v>1322</v>
      </c>
      <c r="AF103" s="73">
        <f t="shared" ca="1" si="265"/>
        <v>1</v>
      </c>
      <c r="AG103" s="64"/>
      <c r="AH103" s="74" t="s">
        <v>1322</v>
      </c>
      <c r="AI103" s="73">
        <f t="shared" ca="1" si="265"/>
        <v>1</v>
      </c>
      <c r="AJ103" s="64"/>
      <c r="AK103" s="792" t="s">
        <v>1322</v>
      </c>
      <c r="AL103" s="73">
        <f t="shared" ca="1" si="265"/>
        <v>1</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2</v>
      </c>
      <c r="G104" s="445">
        <f ca="1">VLOOKUP(H104,Equipos!$Q$1:$R$25,2,0)</f>
        <v>17</v>
      </c>
      <c r="H104" s="446">
        <f ca="1">$H$66</f>
        <v>46200</v>
      </c>
      <c r="I104" s="50"/>
      <c r="J104" s="849"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268">($M104=S104)*$D$11</f>
        <v>2</v>
      </c>
      <c r="U104" s="64"/>
      <c r="V104" s="74" t="s">
        <v>110</v>
      </c>
      <c r="W104" s="73">
        <f t="shared" ref="W104:CH104" ca="1" si="269">($M104=V104)*$D$11</f>
        <v>2</v>
      </c>
      <c r="X104" s="64"/>
      <c r="Y104" s="74" t="s">
        <v>110</v>
      </c>
      <c r="Z104" s="73">
        <f t="shared" ca="1" si="269"/>
        <v>2</v>
      </c>
      <c r="AA104" s="64"/>
      <c r="AB104" s="74" t="s">
        <v>110</v>
      </c>
      <c r="AC104" s="73">
        <f t="shared" ca="1" si="269"/>
        <v>2</v>
      </c>
      <c r="AD104" s="64"/>
      <c r="AE104" s="74" t="s">
        <v>110</v>
      </c>
      <c r="AF104" s="73">
        <f t="shared" ca="1" si="269"/>
        <v>2</v>
      </c>
      <c r="AG104" s="64"/>
      <c r="AH104" s="74" t="s">
        <v>110</v>
      </c>
      <c r="AI104" s="73">
        <f t="shared" ca="1" si="269"/>
        <v>2</v>
      </c>
      <c r="AJ104" s="64"/>
      <c r="AK104" s="792" t="s">
        <v>110</v>
      </c>
      <c r="AL104" s="73">
        <f t="shared" ca="1" si="269"/>
        <v>2</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2</v>
      </c>
      <c r="G105" s="445">
        <f ca="1">VLOOKUP(H105,Equipos!$Q$1:$R$25,2,0)</f>
        <v>17</v>
      </c>
      <c r="H105" s="446">
        <f ca="1">$H$66</f>
        <v>46200</v>
      </c>
      <c r="I105" s="50"/>
      <c r="J105" s="849"/>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272">($M105=S105)*$D$12</f>
        <v>2</v>
      </c>
      <c r="U105" s="64"/>
      <c r="V105" s="74" t="s">
        <v>1262</v>
      </c>
      <c r="W105" s="73">
        <f t="shared" ref="W105:CH105" ca="1" si="273">($M105=V105)*$D$12</f>
        <v>0</v>
      </c>
      <c r="X105" s="64"/>
      <c r="Y105" s="74" t="s">
        <v>1550</v>
      </c>
      <c r="Z105" s="73">
        <f t="shared" ca="1" si="273"/>
        <v>2</v>
      </c>
      <c r="AA105" s="64"/>
      <c r="AB105" s="74" t="s">
        <v>1550</v>
      </c>
      <c r="AC105" s="73">
        <f t="shared" ca="1" si="273"/>
        <v>2</v>
      </c>
      <c r="AD105" s="64"/>
      <c r="AE105" s="74" t="s">
        <v>1550</v>
      </c>
      <c r="AF105" s="73">
        <f t="shared" ca="1" si="273"/>
        <v>2</v>
      </c>
      <c r="AG105" s="64"/>
      <c r="AH105" s="74" t="s">
        <v>1262</v>
      </c>
      <c r="AI105" s="73">
        <f t="shared" ca="1" si="273"/>
        <v>0</v>
      </c>
      <c r="AJ105" s="64"/>
      <c r="AK105" s="792" t="s">
        <v>1550</v>
      </c>
      <c r="AL105" s="73">
        <f t="shared" ca="1" si="273"/>
        <v>2</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1</v>
      </c>
      <c r="G106" s="445">
        <f ca="1">VLOOKUP(H106,Equipos!$Q$1:$R$25,2,0)</f>
        <v>17</v>
      </c>
      <c r="H106" s="446">
        <f ca="1">$H$66</f>
        <v>46200</v>
      </c>
      <c r="I106" s="50"/>
      <c r="J106" s="849"/>
      <c r="K106" s="56" t="str">
        <f>Idiomas!D176</f>
        <v>3º GRUPO G</v>
      </c>
      <c r="L106" s="53"/>
      <c r="M106" s="55" t="str">
        <f ca="1">IF(OR(SUM(WORLDCUP!$AN$54:$AN$57)=12,WORLDCUP!$AJ$99=144),WORLDCUP!AL56,LEFT(K106,1)&amp;RIGHT(K106,1))</f>
        <v>Irán</v>
      </c>
      <c r="N106" s="25"/>
      <c r="O106" s="25"/>
      <c r="P106" s="25"/>
      <c r="Q106" s="25"/>
      <c r="R106" s="110"/>
      <c r="S106" s="74" t="s">
        <v>1262</v>
      </c>
      <c r="T106" s="73">
        <f t="shared" ref="T106" ca="1" si="276">($M106=S106)*$D$13</f>
        <v>1</v>
      </c>
      <c r="U106" s="64"/>
      <c r="V106" s="74" t="s">
        <v>1550</v>
      </c>
      <c r="W106" s="73">
        <f t="shared" ref="W106:CH106" ca="1" si="277">($M106=V106)*$D$13</f>
        <v>0</v>
      </c>
      <c r="X106" s="64"/>
      <c r="Y106" s="74" t="s">
        <v>1262</v>
      </c>
      <c r="Z106" s="73">
        <f t="shared" ca="1" si="277"/>
        <v>1</v>
      </c>
      <c r="AA106" s="64"/>
      <c r="AB106" s="74" t="s">
        <v>1262</v>
      </c>
      <c r="AC106" s="73">
        <f t="shared" ca="1" si="277"/>
        <v>1</v>
      </c>
      <c r="AD106" s="64"/>
      <c r="AE106" s="74" t="s">
        <v>1262</v>
      </c>
      <c r="AF106" s="73">
        <f t="shared" ca="1" si="277"/>
        <v>1</v>
      </c>
      <c r="AG106" s="64"/>
      <c r="AH106" s="74" t="s">
        <v>1550</v>
      </c>
      <c r="AI106" s="73">
        <f t="shared" ca="1" si="277"/>
        <v>0</v>
      </c>
      <c r="AJ106" s="64"/>
      <c r="AK106" s="792" t="s">
        <v>1262</v>
      </c>
      <c r="AL106" s="73">
        <f t="shared" ca="1" si="277"/>
        <v>1</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9"/>
      <c r="K107" s="56" t="str">
        <f>Idiomas!D177</f>
        <v>4º GRUPO G</v>
      </c>
      <c r="L107" s="53"/>
      <c r="M107" s="55" t="str">
        <f ca="1">IF(OR(SUM(WORLDCUP!$AN$54:$AN$57)=12,WORLDCUP!$AJ$99=144),WORLDCUP!AL57,LEFT(K107,1)&amp;RIGHT(K107,1))</f>
        <v>Nueva Zelanda</v>
      </c>
      <c r="N107" s="25"/>
      <c r="O107" s="25"/>
      <c r="P107" s="25"/>
      <c r="Q107" s="25"/>
      <c r="R107" s="110"/>
      <c r="S107" s="74" t="s">
        <v>1266</v>
      </c>
      <c r="T107" s="73">
        <f t="shared" ref="T107" ca="1" si="280">($M107=S107)*$D$14</f>
        <v>1</v>
      </c>
      <c r="U107" s="64"/>
      <c r="V107" s="74" t="s">
        <v>1266</v>
      </c>
      <c r="W107" s="73">
        <f t="shared" ref="W107:CH107" ca="1" si="281">($M107=V107)*$D$14</f>
        <v>1</v>
      </c>
      <c r="X107" s="64"/>
      <c r="Y107" s="74" t="s">
        <v>1266</v>
      </c>
      <c r="Z107" s="73">
        <f t="shared" ca="1" si="281"/>
        <v>1</v>
      </c>
      <c r="AA107" s="64"/>
      <c r="AB107" s="74" t="s">
        <v>1266</v>
      </c>
      <c r="AC107" s="73">
        <f t="shared" ca="1" si="281"/>
        <v>1</v>
      </c>
      <c r="AD107" s="64"/>
      <c r="AE107" s="74" t="s">
        <v>1266</v>
      </c>
      <c r="AF107" s="73">
        <f t="shared" ca="1" si="281"/>
        <v>1</v>
      </c>
      <c r="AG107" s="64"/>
      <c r="AH107" s="74" t="s">
        <v>1266</v>
      </c>
      <c r="AI107" s="73">
        <f t="shared" ca="1" si="281"/>
        <v>1</v>
      </c>
      <c r="AJ107" s="64"/>
      <c r="AK107" s="792" t="s">
        <v>1266</v>
      </c>
      <c r="AL107" s="73">
        <f t="shared" ca="1" si="281"/>
        <v>1</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2</v>
      </c>
      <c r="G108" s="445">
        <f ca="1">VLOOKUP(H108,Equipos!$Q$1:$R$25,2,0)</f>
        <v>17</v>
      </c>
      <c r="H108" s="446">
        <f ca="1">$H$68</f>
        <v>46200</v>
      </c>
      <c r="I108" s="50"/>
      <c r="J108" s="848"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284">($M108=S108)*$D$11</f>
        <v>2</v>
      </c>
      <c r="U108" s="64"/>
      <c r="V108" s="74" t="s">
        <v>38</v>
      </c>
      <c r="W108" s="73">
        <f t="shared" ref="W108:CH108" ca="1" si="285">($M108=V108)*$D$11</f>
        <v>2</v>
      </c>
      <c r="X108" s="64"/>
      <c r="Y108" s="74" t="s">
        <v>38</v>
      </c>
      <c r="Z108" s="73">
        <f t="shared" ca="1" si="285"/>
        <v>2</v>
      </c>
      <c r="AA108" s="64"/>
      <c r="AB108" s="74" t="s">
        <v>38</v>
      </c>
      <c r="AC108" s="73">
        <f t="shared" ca="1" si="285"/>
        <v>2</v>
      </c>
      <c r="AD108" s="64"/>
      <c r="AE108" s="74" t="s">
        <v>38</v>
      </c>
      <c r="AF108" s="73">
        <f t="shared" ca="1" si="285"/>
        <v>2</v>
      </c>
      <c r="AG108" s="64"/>
      <c r="AH108" s="74" t="s">
        <v>38</v>
      </c>
      <c r="AI108" s="73">
        <f t="shared" ca="1" si="285"/>
        <v>2</v>
      </c>
      <c r="AJ108" s="64"/>
      <c r="AK108" s="792" t="s">
        <v>38</v>
      </c>
      <c r="AL108" s="73">
        <f t="shared" ca="1" si="285"/>
        <v>2</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2</v>
      </c>
      <c r="G109" s="445">
        <f ca="1">VLOOKUP(H109,Equipos!$Q$1:$R$25,2,0)</f>
        <v>17</v>
      </c>
      <c r="H109" s="446">
        <f ca="1">$H$68</f>
        <v>46200</v>
      </c>
      <c r="I109" s="50"/>
      <c r="J109" s="848"/>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92" t="s">
        <v>1318</v>
      </c>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1</v>
      </c>
      <c r="G110" s="445">
        <f ca="1">VLOOKUP(H110,Equipos!$Q$1:$R$25,2,0)</f>
        <v>17</v>
      </c>
      <c r="H110" s="446">
        <f ca="1">$H$68</f>
        <v>46200</v>
      </c>
      <c r="I110" s="50"/>
      <c r="J110" s="848"/>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292">($M110=S110)*$D$13</f>
        <v>0</v>
      </c>
      <c r="U110" s="64"/>
      <c r="V110" s="74" t="s">
        <v>1632</v>
      </c>
      <c r="W110" s="73">
        <f t="shared" ref="W110:CH110" ca="1" si="293">($M110=V110)*$D$13</f>
        <v>0</v>
      </c>
      <c r="X110" s="64"/>
      <c r="Y110" s="74" t="s">
        <v>1632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92" t="s">
        <v>1632</v>
      </c>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8"/>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296">($M111=S111)*$D$14</f>
        <v>0</v>
      </c>
      <c r="U111" s="64"/>
      <c r="V111" s="74" t="s">
        <v>1552</v>
      </c>
      <c r="W111" s="73">
        <f t="shared" ref="W111:CH111" ca="1" si="297">($M111=V111)*$D$14</f>
        <v>0</v>
      </c>
      <c r="X111" s="64"/>
      <c r="Y111" s="74" t="s">
        <v>1552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92" t="s">
        <v>1552</v>
      </c>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2</v>
      </c>
      <c r="G112" s="445">
        <f ca="1">VLOOKUP(H112,Equipos!$Q$1:$R$25,2,0)</f>
        <v>16</v>
      </c>
      <c r="H112" s="446">
        <f ca="1">$H$70</f>
        <v>46199</v>
      </c>
      <c r="I112" s="50"/>
      <c r="J112" s="849"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300">($M112=S112)*$D$11</f>
        <v>2</v>
      </c>
      <c r="U112" s="64"/>
      <c r="V112" s="74" t="s">
        <v>74</v>
      </c>
      <c r="W112" s="73">
        <f t="shared" ref="W112:CH112" ca="1" si="301">($M112=V112)*$D$11</f>
        <v>2</v>
      </c>
      <c r="X112" s="64"/>
      <c r="Y112" s="74" t="s">
        <v>74</v>
      </c>
      <c r="Z112" s="73">
        <f t="shared" ca="1" si="301"/>
        <v>2</v>
      </c>
      <c r="AA112" s="64"/>
      <c r="AB112" s="74" t="s">
        <v>74</v>
      </c>
      <c r="AC112" s="73">
        <f t="shared" ca="1" si="301"/>
        <v>2</v>
      </c>
      <c r="AD112" s="64"/>
      <c r="AE112" s="74" t="s">
        <v>74</v>
      </c>
      <c r="AF112" s="73">
        <f t="shared" ca="1" si="301"/>
        <v>2</v>
      </c>
      <c r="AG112" s="64"/>
      <c r="AH112" s="74" t="s">
        <v>74</v>
      </c>
      <c r="AI112" s="73">
        <f t="shared" ca="1" si="301"/>
        <v>2</v>
      </c>
      <c r="AJ112" s="64"/>
      <c r="AK112" s="792" t="s">
        <v>74</v>
      </c>
      <c r="AL112" s="73">
        <f t="shared" ca="1" si="301"/>
        <v>2</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2</v>
      </c>
      <c r="G113" s="445">
        <f ca="1">VLOOKUP(H113,Equipos!$Q$1:$R$25,2,0)</f>
        <v>16</v>
      </c>
      <c r="H113" s="446">
        <f ca="1">$H$70</f>
        <v>46199</v>
      </c>
      <c r="I113" s="50"/>
      <c r="J113" s="849"/>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304">($M113=S113)*$D$12</f>
        <v>2</v>
      </c>
      <c r="U113" s="64"/>
      <c r="V113" s="74" t="s">
        <v>1634</v>
      </c>
      <c r="W113" s="73">
        <f t="shared" ref="W113:CH113" ca="1" si="305">($M113=V113)*$D$12</f>
        <v>0</v>
      </c>
      <c r="X113" s="64"/>
      <c r="Y113" s="74" t="s">
        <v>135</v>
      </c>
      <c r="Z113" s="73">
        <f t="shared" ca="1" si="305"/>
        <v>2</v>
      </c>
      <c r="AA113" s="64"/>
      <c r="AB113" s="74" t="s">
        <v>135</v>
      </c>
      <c r="AC113" s="73">
        <f t="shared" ca="1" si="305"/>
        <v>2</v>
      </c>
      <c r="AD113" s="64"/>
      <c r="AE113" s="74" t="s">
        <v>135</v>
      </c>
      <c r="AF113" s="73">
        <f t="shared" ca="1" si="305"/>
        <v>2</v>
      </c>
      <c r="AG113" s="64"/>
      <c r="AH113" s="74" t="s">
        <v>135</v>
      </c>
      <c r="AI113" s="73">
        <f t="shared" ca="1" si="305"/>
        <v>2</v>
      </c>
      <c r="AJ113" s="64"/>
      <c r="AK113" s="792" t="s">
        <v>135</v>
      </c>
      <c r="AL113" s="73">
        <f t="shared" ca="1" si="305"/>
        <v>2</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1</v>
      </c>
      <c r="G114" s="445">
        <f ca="1">VLOOKUP(H114,Equipos!$Q$1:$R$25,2,0)</f>
        <v>16</v>
      </c>
      <c r="H114" s="446">
        <f ca="1">$H$70</f>
        <v>46199</v>
      </c>
      <c r="I114" s="50"/>
      <c r="J114" s="849"/>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308">($M114=S114)*$D$13</f>
        <v>1</v>
      </c>
      <c r="U114" s="64"/>
      <c r="V114" s="74" t="s">
        <v>135</v>
      </c>
      <c r="W114" s="73">
        <f t="shared" ref="W114:CH114" ca="1" si="309">($M114=V114)*$D$13</f>
        <v>0</v>
      </c>
      <c r="X114" s="64"/>
      <c r="Y114" s="74" t="s">
        <v>1634</v>
      </c>
      <c r="Z114" s="73">
        <f t="shared" ca="1" si="309"/>
        <v>1</v>
      </c>
      <c r="AA114" s="64"/>
      <c r="AB114" s="74" t="s">
        <v>1634</v>
      </c>
      <c r="AC114" s="73">
        <f t="shared" ca="1" si="309"/>
        <v>1</v>
      </c>
      <c r="AD114" s="64"/>
      <c r="AE114" s="74" t="s">
        <v>1634</v>
      </c>
      <c r="AF114" s="73">
        <f t="shared" ca="1" si="309"/>
        <v>1</v>
      </c>
      <c r="AG114" s="64"/>
      <c r="AH114" s="74" t="s">
        <v>1634</v>
      </c>
      <c r="AI114" s="73">
        <f t="shared" ca="1" si="309"/>
        <v>1</v>
      </c>
      <c r="AJ114" s="64"/>
      <c r="AK114" s="792" t="s">
        <v>1634</v>
      </c>
      <c r="AL114" s="73">
        <f t="shared" ca="1" si="309"/>
        <v>1</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9"/>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312">($M115=S115)*$D$14</f>
        <v>1</v>
      </c>
      <c r="U115" s="64"/>
      <c r="V115" s="74" t="s">
        <v>1757</v>
      </c>
      <c r="W115" s="73">
        <f t="shared" ref="W115:CH115" ca="1" si="313">($M115=V115)*$D$14</f>
        <v>1</v>
      </c>
      <c r="X115" s="64"/>
      <c r="Y115" s="74" t="s">
        <v>1757</v>
      </c>
      <c r="Z115" s="73">
        <f t="shared" ca="1" si="313"/>
        <v>1</v>
      </c>
      <c r="AA115" s="64"/>
      <c r="AB115" s="74" t="s">
        <v>1757</v>
      </c>
      <c r="AC115" s="73">
        <f t="shared" ca="1" si="313"/>
        <v>1</v>
      </c>
      <c r="AD115" s="64"/>
      <c r="AE115" s="74" t="s">
        <v>1757</v>
      </c>
      <c r="AF115" s="73">
        <f t="shared" ca="1" si="313"/>
        <v>1</v>
      </c>
      <c r="AG115" s="64"/>
      <c r="AH115" s="74" t="s">
        <v>1757</v>
      </c>
      <c r="AI115" s="73">
        <f t="shared" ca="1" si="313"/>
        <v>1</v>
      </c>
      <c r="AJ115" s="64"/>
      <c r="AK115" s="792" t="s">
        <v>1757</v>
      </c>
      <c r="AL115" s="73">
        <f t="shared" ca="1" si="313"/>
        <v>1</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2</v>
      </c>
      <c r="G116" s="445">
        <f ca="1">VLOOKUP(H116,Equipos!$Q$1:$R$25,2,0)</f>
        <v>18</v>
      </c>
      <c r="H116" s="446">
        <f ca="1">$H$72</f>
        <v>46201</v>
      </c>
      <c r="I116" s="50"/>
      <c r="J116" s="848"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316">($M116=S116)*$D$11</f>
        <v>2</v>
      </c>
      <c r="U116" s="64"/>
      <c r="V116" s="74" t="s">
        <v>1256</v>
      </c>
      <c r="W116" s="73">
        <f t="shared" ref="W116:CH116" ca="1" si="317">($M116=V116)*$D$11</f>
        <v>2</v>
      </c>
      <c r="X116" s="64"/>
      <c r="Y116" s="74" t="s">
        <v>1256</v>
      </c>
      <c r="Z116" s="73">
        <f t="shared" ca="1" si="317"/>
        <v>2</v>
      </c>
      <c r="AA116" s="64"/>
      <c r="AB116" s="74" t="s">
        <v>1256</v>
      </c>
      <c r="AC116" s="73">
        <f t="shared" ca="1" si="317"/>
        <v>2</v>
      </c>
      <c r="AD116" s="64"/>
      <c r="AE116" s="74" t="s">
        <v>1256</v>
      </c>
      <c r="AF116" s="73">
        <f t="shared" ca="1" si="317"/>
        <v>2</v>
      </c>
      <c r="AG116" s="64"/>
      <c r="AH116" s="74" t="s">
        <v>1256</v>
      </c>
      <c r="AI116" s="73">
        <f t="shared" ca="1" si="317"/>
        <v>2</v>
      </c>
      <c r="AJ116" s="64"/>
      <c r="AK116" s="792" t="s">
        <v>1256</v>
      </c>
      <c r="AL116" s="73">
        <f t="shared" ca="1" si="317"/>
        <v>2</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2</v>
      </c>
      <c r="G117" s="445">
        <f ca="1">VLOOKUP(H117,Equipos!$Q$1:$R$25,2,0)</f>
        <v>18</v>
      </c>
      <c r="H117" s="446">
        <f ca="1">$H$72</f>
        <v>46201</v>
      </c>
      <c r="I117" s="50"/>
      <c r="J117" s="848"/>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320">($M117=S117)*$D$12</f>
        <v>2</v>
      </c>
      <c r="U117" s="64"/>
      <c r="V117" s="74" t="s">
        <v>80</v>
      </c>
      <c r="W117" s="73">
        <f t="shared" ref="W117:CH117" ca="1" si="321">($M117=V117)*$D$12</f>
        <v>2</v>
      </c>
      <c r="X117" s="64"/>
      <c r="Y117" s="74" t="s">
        <v>1558</v>
      </c>
      <c r="Z117" s="73">
        <f t="shared" ca="1" si="321"/>
        <v>0</v>
      </c>
      <c r="AA117" s="64"/>
      <c r="AB117" s="74" t="s">
        <v>80</v>
      </c>
      <c r="AC117" s="73">
        <f t="shared" ca="1" si="321"/>
        <v>2</v>
      </c>
      <c r="AD117" s="64"/>
      <c r="AE117" s="74" t="s">
        <v>80</v>
      </c>
      <c r="AF117" s="73">
        <f t="shared" ca="1" si="321"/>
        <v>2</v>
      </c>
      <c r="AG117" s="64"/>
      <c r="AH117" s="74" t="s">
        <v>1558</v>
      </c>
      <c r="AI117" s="73">
        <f t="shared" ca="1" si="321"/>
        <v>0</v>
      </c>
      <c r="AJ117" s="64"/>
      <c r="AK117" s="792" t="s">
        <v>80</v>
      </c>
      <c r="AL117" s="73">
        <f t="shared" ca="1" si="321"/>
        <v>2</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1</v>
      </c>
      <c r="G118" s="445">
        <f ca="1">VLOOKUP(H118,Equipos!$Q$1:$R$25,2,0)</f>
        <v>18</v>
      </c>
      <c r="H118" s="446">
        <f ca="1">$H$72</f>
        <v>46201</v>
      </c>
      <c r="I118" s="50"/>
      <c r="J118" s="848"/>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324">($M118=S118)*$D$13</f>
        <v>1</v>
      </c>
      <c r="U118" s="64"/>
      <c r="V118" s="74" t="s">
        <v>1558</v>
      </c>
      <c r="W118" s="73">
        <f t="shared" ref="W118:CH118" ca="1" si="325">($M118=V118)*$D$13</f>
        <v>1</v>
      </c>
      <c r="X118" s="64"/>
      <c r="Y118" s="74" t="s">
        <v>80</v>
      </c>
      <c r="Z118" s="73">
        <f t="shared" ca="1" si="325"/>
        <v>0</v>
      </c>
      <c r="AA118" s="64"/>
      <c r="AB118" s="74" t="s">
        <v>1558</v>
      </c>
      <c r="AC118" s="73">
        <f t="shared" ca="1" si="325"/>
        <v>1</v>
      </c>
      <c r="AD118" s="64"/>
      <c r="AE118" s="74" t="s">
        <v>1558</v>
      </c>
      <c r="AF118" s="73">
        <f t="shared" ca="1" si="325"/>
        <v>1</v>
      </c>
      <c r="AG118" s="64"/>
      <c r="AH118" s="74" t="s">
        <v>80</v>
      </c>
      <c r="AI118" s="73">
        <f t="shared" ca="1" si="325"/>
        <v>0</v>
      </c>
      <c r="AJ118" s="64"/>
      <c r="AK118" s="792" t="s">
        <v>1558</v>
      </c>
      <c r="AL118" s="73">
        <f t="shared" ca="1" si="325"/>
        <v>1</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8"/>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328">($M119=S119)*$D$14</f>
        <v>1</v>
      </c>
      <c r="U119" s="64"/>
      <c r="V119" s="74" t="s">
        <v>1264</v>
      </c>
      <c r="W119" s="73">
        <f t="shared" ref="W119:CH119" ca="1" si="329">($M119=V119)*$D$14</f>
        <v>1</v>
      </c>
      <c r="X119" s="64"/>
      <c r="Y119" s="74" t="s">
        <v>1264</v>
      </c>
      <c r="Z119" s="73">
        <f t="shared" ca="1" si="329"/>
        <v>1</v>
      </c>
      <c r="AA119" s="64"/>
      <c r="AB119" s="74" t="s">
        <v>1264</v>
      </c>
      <c r="AC119" s="73">
        <f t="shared" ca="1" si="329"/>
        <v>1</v>
      </c>
      <c r="AD119" s="64"/>
      <c r="AE119" s="74" t="s">
        <v>1264</v>
      </c>
      <c r="AF119" s="73">
        <f t="shared" ca="1" si="329"/>
        <v>1</v>
      </c>
      <c r="AG119" s="64"/>
      <c r="AH119" s="74" t="s">
        <v>1264</v>
      </c>
      <c r="AI119" s="73">
        <f t="shared" ca="1" si="329"/>
        <v>1</v>
      </c>
      <c r="AJ119" s="64"/>
      <c r="AK119" s="792" t="s">
        <v>1264</v>
      </c>
      <c r="AL119" s="73">
        <f t="shared" ca="1" si="329"/>
        <v>1</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2</v>
      </c>
      <c r="G120" s="445">
        <f ca="1">VLOOKUP(H120,Equipos!$Q$1:$R$25,2,0)</f>
        <v>18</v>
      </c>
      <c r="H120" s="446">
        <f ca="1">$H$74</f>
        <v>46201</v>
      </c>
      <c r="I120" s="50"/>
      <c r="J120" s="849" t="s">
        <v>439</v>
      </c>
      <c r="K120" s="56" t="str">
        <f>Idiomas!D190</f>
        <v>1º GRUPO K</v>
      </c>
      <c r="L120" s="53"/>
      <c r="M120" s="55" t="str">
        <f ca="1">IF(OR(SUM(WORLDCUP!$AN$86:$AN$89)=12,WORLDCUP!$AJ$99=144),WORLDCUP!AL86,LEFT(K120,1)&amp;RIGHT(K120,1))</f>
        <v>Colombia</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92" t="s">
        <v>79</v>
      </c>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2</v>
      </c>
      <c r="G121" s="445">
        <f ca="1">VLOOKUP(H121,Equipos!$Q$1:$R$25,2,0)</f>
        <v>18</v>
      </c>
      <c r="H121" s="446">
        <f ca="1">$H$74</f>
        <v>46201</v>
      </c>
      <c r="I121" s="50"/>
      <c r="J121" s="849"/>
      <c r="K121" s="56" t="str">
        <f>Idiomas!D191</f>
        <v>2º GRUPO K</v>
      </c>
      <c r="L121" s="53"/>
      <c r="M121" s="55" t="str">
        <f ca="1">IF(OR(SUM(WORLDCUP!$AN$86:$AN$89)=12,WORLDCUP!$AJ$99=144),WORLDCUP!AL87,LEFT(K121,1)&amp;RIGHT(K121,1))</f>
        <v>Portugal</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92" t="s">
        <v>1320</v>
      </c>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1</v>
      </c>
      <c r="G122" s="445">
        <f ca="1">VLOOKUP(H122,Equipos!$Q$1:$R$25,2,0)</f>
        <v>18</v>
      </c>
      <c r="H122" s="446">
        <f ca="1">$H$74</f>
        <v>46201</v>
      </c>
      <c r="I122" s="50"/>
      <c r="J122" s="849"/>
      <c r="K122" s="56" t="str">
        <f>Idiomas!D192</f>
        <v>3º GRUPO K</v>
      </c>
      <c r="L122" s="53"/>
      <c r="M122" s="55" t="str">
        <f ca="1">IF(OR(SUM(WORLDCUP!$AN$86:$AN$89)=12,WORLDCUP!$AJ$99=144),WORLDCUP!AL88,LEFT(K122,1)&amp;RIGHT(K122,1))</f>
        <v>RD Congo</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1</v>
      </c>
      <c r="AA122" s="64"/>
      <c r="AB122" s="74" t="s">
        <v>1839</v>
      </c>
      <c r="AC122" s="73">
        <f t="shared" ca="1" si="341"/>
        <v>1</v>
      </c>
      <c r="AD122" s="64"/>
      <c r="AE122" s="74" t="s">
        <v>1839</v>
      </c>
      <c r="AF122" s="73">
        <f t="shared" ca="1" si="341"/>
        <v>1</v>
      </c>
      <c r="AG122" s="64"/>
      <c r="AH122" s="74" t="s">
        <v>1267</v>
      </c>
      <c r="AI122" s="73">
        <f t="shared" ca="1" si="341"/>
        <v>0</v>
      </c>
      <c r="AJ122" s="64"/>
      <c r="AK122" s="792" t="s">
        <v>1839</v>
      </c>
      <c r="AL122" s="73">
        <f t="shared" ca="1" si="341"/>
        <v>1</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9"/>
      <c r="K123" s="56" t="str">
        <f>Idiomas!D193</f>
        <v>4º GRUPO K</v>
      </c>
      <c r="L123" s="53"/>
      <c r="M123" s="55" t="str">
        <f ca="1">IF(OR(SUM(WORLDCUP!$AN$86:$AN$89)=12,WORLDCUP!$AJ$99=144),WORLDCUP!AL89,LEFT(K123,1)&amp;RIGHT(K123,1))</f>
        <v>Uzbekistán</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1</v>
      </c>
      <c r="AA123" s="64"/>
      <c r="AB123" s="74" t="s">
        <v>1267</v>
      </c>
      <c r="AC123" s="73">
        <f t="shared" ca="1" si="345"/>
        <v>1</v>
      </c>
      <c r="AD123" s="64"/>
      <c r="AE123" s="74" t="s">
        <v>1267</v>
      </c>
      <c r="AF123" s="73">
        <f t="shared" ca="1" si="345"/>
        <v>1</v>
      </c>
      <c r="AG123" s="64"/>
      <c r="AH123" s="74" t="s">
        <v>1839</v>
      </c>
      <c r="AI123" s="73">
        <f t="shared" ca="1" si="345"/>
        <v>0</v>
      </c>
      <c r="AJ123" s="64"/>
      <c r="AK123" s="792" t="s">
        <v>1267</v>
      </c>
      <c r="AL123" s="73">
        <f t="shared" ca="1" si="345"/>
        <v>1</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2</v>
      </c>
      <c r="G124" s="445">
        <f ca="1">VLOOKUP(H124,Equipos!$Q$1:$R$25,2,0)</f>
        <v>18</v>
      </c>
      <c r="H124" s="446">
        <f ca="1">$H$76</f>
        <v>46201</v>
      </c>
      <c r="I124" s="50"/>
      <c r="J124" s="848"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348">($M124=S124)*$D$11</f>
        <v>2</v>
      </c>
      <c r="U124" s="64"/>
      <c r="V124" s="74" t="s">
        <v>76</v>
      </c>
      <c r="W124" s="73">
        <f t="shared" ref="W124:CH124" ca="1" si="349">($M124=V124)*$D$11</f>
        <v>2</v>
      </c>
      <c r="X124" s="64"/>
      <c r="Y124" s="74" t="s">
        <v>76</v>
      </c>
      <c r="Z124" s="73">
        <f t="shared" ca="1" si="349"/>
        <v>2</v>
      </c>
      <c r="AA124" s="64"/>
      <c r="AB124" s="74" t="s">
        <v>76</v>
      </c>
      <c r="AC124" s="73">
        <f t="shared" ca="1" si="349"/>
        <v>2</v>
      </c>
      <c r="AD124" s="64"/>
      <c r="AE124" s="74" t="s">
        <v>1551</v>
      </c>
      <c r="AF124" s="73">
        <f t="shared" ca="1" si="349"/>
        <v>0</v>
      </c>
      <c r="AG124" s="64"/>
      <c r="AH124" s="74" t="s">
        <v>76</v>
      </c>
      <c r="AI124" s="73">
        <f t="shared" ca="1" si="349"/>
        <v>2</v>
      </c>
      <c r="AJ124" s="64"/>
      <c r="AK124" s="792" t="s">
        <v>76</v>
      </c>
      <c r="AL124" s="73">
        <f t="shared" ca="1" si="349"/>
        <v>2</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2</v>
      </c>
      <c r="G125" s="445">
        <f ca="1">VLOOKUP(H125,Equipos!$Q$1:$R$25,2,0)</f>
        <v>18</v>
      </c>
      <c r="H125" s="446">
        <f ca="1">$H$76</f>
        <v>46201</v>
      </c>
      <c r="I125" s="50"/>
      <c r="J125" s="848"/>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352">($M125=S125)*$D$12</f>
        <v>2</v>
      </c>
      <c r="U125" s="64"/>
      <c r="V125" s="74" t="s">
        <v>78</v>
      </c>
      <c r="W125" s="73">
        <f t="shared" ref="W125:CH125" ca="1" si="353">($M125=V125)*$D$12</f>
        <v>2</v>
      </c>
      <c r="X125" s="64"/>
      <c r="Y125" s="74" t="s">
        <v>78</v>
      </c>
      <c r="Z125" s="73">
        <f t="shared" ca="1" si="353"/>
        <v>2</v>
      </c>
      <c r="AA125" s="64"/>
      <c r="AB125" s="74" t="s">
        <v>78</v>
      </c>
      <c r="AC125" s="73">
        <f t="shared" ca="1" si="353"/>
        <v>2</v>
      </c>
      <c r="AD125" s="64"/>
      <c r="AE125" s="74" t="s">
        <v>76</v>
      </c>
      <c r="AF125" s="73">
        <f t="shared" ca="1" si="353"/>
        <v>0</v>
      </c>
      <c r="AG125" s="64"/>
      <c r="AH125" s="74" t="s">
        <v>78</v>
      </c>
      <c r="AI125" s="73">
        <f t="shared" ca="1" si="353"/>
        <v>2</v>
      </c>
      <c r="AJ125" s="64"/>
      <c r="AK125" s="792" t="s">
        <v>78</v>
      </c>
      <c r="AL125" s="73">
        <f t="shared" ca="1" si="353"/>
        <v>2</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1</v>
      </c>
      <c r="G126" s="445">
        <f ca="1">VLOOKUP(H126,Equipos!$Q$1:$R$25,2,0)</f>
        <v>18</v>
      </c>
      <c r="H126" s="446">
        <f ca="1">$H$76</f>
        <v>46201</v>
      </c>
      <c r="I126" s="50"/>
      <c r="J126" s="848"/>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356">($M126=S126)*$D$13</f>
        <v>1</v>
      </c>
      <c r="U126" s="64"/>
      <c r="V126" s="74" t="s">
        <v>1551</v>
      </c>
      <c r="W126" s="73">
        <f t="shared" ref="W126:CH126" ca="1" si="357">($M126=V126)*$D$13</f>
        <v>1</v>
      </c>
      <c r="X126" s="64"/>
      <c r="Y126" s="74" t="s">
        <v>1551</v>
      </c>
      <c r="Z126" s="73">
        <f t="shared" ca="1" si="357"/>
        <v>1</v>
      </c>
      <c r="AA126" s="64"/>
      <c r="AB126" s="74" t="s">
        <v>1551</v>
      </c>
      <c r="AC126" s="73">
        <f t="shared" ca="1" si="357"/>
        <v>1</v>
      </c>
      <c r="AD126" s="64"/>
      <c r="AE126" s="74" t="s">
        <v>78</v>
      </c>
      <c r="AF126" s="73">
        <f t="shared" ca="1" si="357"/>
        <v>0</v>
      </c>
      <c r="AG126" s="64"/>
      <c r="AH126" s="74" t="s">
        <v>1551</v>
      </c>
      <c r="AI126" s="73">
        <f t="shared" ca="1" si="357"/>
        <v>1</v>
      </c>
      <c r="AJ126" s="64"/>
      <c r="AK126" s="792" t="s">
        <v>1551</v>
      </c>
      <c r="AL126" s="73">
        <f t="shared" ca="1" si="357"/>
        <v>1</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8"/>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360">($M127=S127)*$D$14</f>
        <v>1</v>
      </c>
      <c r="U127" s="64"/>
      <c r="V127" s="80" t="s">
        <v>1730</v>
      </c>
      <c r="W127" s="81">
        <f t="shared" ref="W127:CH127" ca="1" si="361">($M127=V127)*$D$14</f>
        <v>1</v>
      </c>
      <c r="X127" s="64"/>
      <c r="Y127" s="80" t="s">
        <v>1730</v>
      </c>
      <c r="Z127" s="81">
        <f t="shared" ca="1" si="361"/>
        <v>1</v>
      </c>
      <c r="AA127" s="64"/>
      <c r="AB127" s="80" t="s">
        <v>1730</v>
      </c>
      <c r="AC127" s="81">
        <f t="shared" ca="1" si="361"/>
        <v>1</v>
      </c>
      <c r="AD127" s="64"/>
      <c r="AE127" s="80" t="s">
        <v>1730</v>
      </c>
      <c r="AF127" s="81">
        <f t="shared" ca="1" si="361"/>
        <v>1</v>
      </c>
      <c r="AG127" s="64"/>
      <c r="AH127" s="80" t="s">
        <v>1730</v>
      </c>
      <c r="AI127" s="81">
        <f t="shared" ca="1" si="361"/>
        <v>1</v>
      </c>
      <c r="AJ127" s="64"/>
      <c r="AK127" s="792" t="s">
        <v>1730</v>
      </c>
      <c r="AL127" s="81">
        <f t="shared" ca="1" si="361"/>
        <v>1</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72</v>
      </c>
      <c r="N128" s="25"/>
      <c r="O128" s="25"/>
      <c r="P128" s="25"/>
      <c r="Q128" s="25"/>
      <c r="R128" s="49"/>
      <c r="S128" s="84"/>
      <c r="T128" s="71">
        <f ca="1">SUM(T80:T127)</f>
        <v>51</v>
      </c>
      <c r="U128" s="65"/>
      <c r="V128" s="84"/>
      <c r="W128" s="71">
        <f t="shared" ref="W128" ca="1" si="363">SUM(W80:W127)</f>
        <v>46</v>
      </c>
      <c r="X128" s="65"/>
      <c r="Y128" s="84"/>
      <c r="Z128" s="71">
        <f t="shared" ref="Z128" ca="1" si="364">SUM(Z80:Z127)</f>
        <v>41</v>
      </c>
      <c r="AA128" s="65"/>
      <c r="AB128" s="84"/>
      <c r="AC128" s="71">
        <f t="shared" ref="AC128" ca="1" si="365">SUM(AC80:AC127)</f>
        <v>47</v>
      </c>
      <c r="AD128" s="65"/>
      <c r="AE128" s="84"/>
      <c r="AF128" s="71">
        <f t="shared" ref="AF128" ca="1" si="366">SUM(AF80:AF127)</f>
        <v>41</v>
      </c>
      <c r="AG128" s="65"/>
      <c r="AH128" s="84"/>
      <c r="AI128" s="71">
        <f t="shared" ref="AI128" ca="1" si="367">SUM(AI80:AI127)</f>
        <v>40</v>
      </c>
      <c r="AJ128" s="65"/>
      <c r="AK128" s="84"/>
      <c r="AL128" s="71">
        <f t="shared" ref="AL128" ca="1" si="368">SUM(AL80:AL127)</f>
        <v>47</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1</v>
      </c>
      <c r="G130" s="445">
        <f ca="1">VLOOKUP(H130,Equipos!$Q$1:$R$25,2,0)</f>
        <v>19</v>
      </c>
      <c r="H130" s="447" t="str">
        <f>Idiomas!$D$137</f>
        <v>CLASIFICADOS PARA DIECISEISAVOS</v>
      </c>
      <c r="I130" s="50"/>
      <c r="J130" s="846" t="s">
        <v>483</v>
      </c>
      <c r="K130" s="53" t="str">
        <f>Idiomas!$D$198&amp;"-"&amp;ROWS($L$130:L130)</f>
        <v>Dieciseisavofinalista-1</v>
      </c>
      <c r="L130" s="53"/>
      <c r="M130" s="55" t="str">
        <f ca="1">WORLDCUP!AA101</f>
        <v>Sudáfrica</v>
      </c>
      <c r="N130" s="25"/>
      <c r="O130" s="25"/>
      <c r="P130" s="25"/>
      <c r="Q130" s="25"/>
      <c r="R130" s="110"/>
      <c r="S130" s="76" t="s">
        <v>1260</v>
      </c>
      <c r="T130" s="77">
        <f t="shared" ref="T130:T161" ca="1" si="387">COUNTIF($M$130:$M$161,S130)*$D$15</f>
        <v>0</v>
      </c>
      <c r="U130" s="64"/>
      <c r="V130" s="76" t="s">
        <v>1843</v>
      </c>
      <c r="W130" s="77">
        <f t="shared" ref="W130:W161" ca="1" si="388">COUNTIF($M$130:$M$161,V130)*$D$15</f>
        <v>0</v>
      </c>
      <c r="X130" s="64"/>
      <c r="Y130" s="76" t="s">
        <v>1265</v>
      </c>
      <c r="Z130" s="77">
        <f t="shared" ref="Z130:Z161" ca="1" si="389">COUNTIF($M$130:$M$161,Y130)*$D$15</f>
        <v>1</v>
      </c>
      <c r="AA130" s="64"/>
      <c r="AB130" s="76" t="s">
        <v>1843</v>
      </c>
      <c r="AC130" s="77">
        <f t="shared" ref="AC130:AC161" ca="1" si="390">COUNTIF($M$130:$M$161,AB130)*$D$15</f>
        <v>0</v>
      </c>
      <c r="AD130" s="64"/>
      <c r="AE130" s="76" t="s">
        <v>1260</v>
      </c>
      <c r="AF130" s="77">
        <f t="shared" ref="AF130:AF161" ca="1" si="391">COUNTIF($M$130:$M$161,AE130)*$D$15</f>
        <v>0</v>
      </c>
      <c r="AG130" s="64"/>
      <c r="AH130" s="76" t="s">
        <v>1260</v>
      </c>
      <c r="AI130" s="77">
        <f t="shared" ref="AI130:AI161" ca="1" si="392">COUNTIF($M$130:$M$161,AH130)*$D$15</f>
        <v>0</v>
      </c>
      <c r="AJ130" s="64"/>
      <c r="AK130" s="792" t="s">
        <v>1265</v>
      </c>
      <c r="AL130" s="77">
        <f t="shared" ref="AL130:AL161" ca="1" si="393">COUNTIF($M$130:$M$161,AK130)*$D$15</f>
        <v>1</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1</v>
      </c>
      <c r="G131" s="445">
        <f ca="1">VLOOKUP(H131,Equipos!$Q$1:$R$25,2,0)</f>
        <v>19</v>
      </c>
      <c r="H131" s="447" t="str">
        <f>Idiomas!$D$137</f>
        <v>CLASIFICADOS PARA DIECISEISAVOS</v>
      </c>
      <c r="I131" s="50"/>
      <c r="J131" s="846"/>
      <c r="K131" s="56" t="str">
        <f>Idiomas!$D$198&amp;"-"&amp;ROWS($L$130:L131)</f>
        <v>Dieciseisavofinalista-2</v>
      </c>
      <c r="L131" s="53"/>
      <c r="M131" s="55" t="str">
        <f ca="1">WORLDCUP!AA102</f>
        <v>Brasil</v>
      </c>
      <c r="N131" s="25"/>
      <c r="O131" s="25"/>
      <c r="P131" s="25"/>
      <c r="Q131" s="25"/>
      <c r="R131" s="110"/>
      <c r="S131" s="74" t="s">
        <v>1258</v>
      </c>
      <c r="T131" s="73">
        <f t="shared" ca="1" si="387"/>
        <v>1</v>
      </c>
      <c r="U131" s="64"/>
      <c r="V131" s="74" t="s">
        <v>1258</v>
      </c>
      <c r="W131" s="73">
        <f t="shared" ca="1" si="388"/>
        <v>1</v>
      </c>
      <c r="X131" s="64"/>
      <c r="Y131" s="74" t="s">
        <v>1258</v>
      </c>
      <c r="Z131" s="73">
        <f t="shared" ca="1" si="389"/>
        <v>1</v>
      </c>
      <c r="AA131" s="64"/>
      <c r="AB131" s="74" t="s">
        <v>1258</v>
      </c>
      <c r="AC131" s="73">
        <f t="shared" ca="1" si="390"/>
        <v>1</v>
      </c>
      <c r="AD131" s="64"/>
      <c r="AE131" s="74" t="s">
        <v>1258</v>
      </c>
      <c r="AF131" s="73">
        <f t="shared" ca="1" si="391"/>
        <v>1</v>
      </c>
      <c r="AG131" s="64"/>
      <c r="AH131" s="74" t="s">
        <v>1258</v>
      </c>
      <c r="AI131" s="73">
        <f t="shared" ca="1" si="392"/>
        <v>1</v>
      </c>
      <c r="AJ131" s="64"/>
      <c r="AK131" s="792" t="s">
        <v>1258</v>
      </c>
      <c r="AL131" s="73">
        <f t="shared" ca="1" si="393"/>
        <v>1</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1</v>
      </c>
      <c r="G132" s="445">
        <f ca="1">VLOOKUP(H132,Equipos!$Q$1:$R$25,2,0)</f>
        <v>19</v>
      </c>
      <c r="H132" s="447" t="str">
        <f>Idiomas!$D$137</f>
        <v>CLASIFICADOS PARA DIECISEISAVOS</v>
      </c>
      <c r="I132" s="50"/>
      <c r="J132" s="846"/>
      <c r="K132" s="56" t="str">
        <f>Idiomas!$D$198&amp;"-"&amp;ROWS($L$130:L132)</f>
        <v>Dieciseisavofinalista-3</v>
      </c>
      <c r="L132" s="53"/>
      <c r="M132" s="55" t="str">
        <f ca="1">WORLDCUP!AA103</f>
        <v>Alemania</v>
      </c>
      <c r="N132" s="25"/>
      <c r="O132" s="25"/>
      <c r="P132" s="25"/>
      <c r="Q132" s="25"/>
      <c r="R132" s="110"/>
      <c r="S132" s="74" t="s">
        <v>77</v>
      </c>
      <c r="T132" s="73">
        <f t="shared" ca="1" si="387"/>
        <v>1</v>
      </c>
      <c r="U132" s="64"/>
      <c r="V132" s="74" t="s">
        <v>77</v>
      </c>
      <c r="W132" s="73">
        <f t="shared" ca="1" si="388"/>
        <v>1</v>
      </c>
      <c r="X132" s="64"/>
      <c r="Y132" s="74" t="s">
        <v>77</v>
      </c>
      <c r="Z132" s="73">
        <f t="shared" ca="1" si="389"/>
        <v>1</v>
      </c>
      <c r="AA132" s="64"/>
      <c r="AB132" s="74" t="s">
        <v>77</v>
      </c>
      <c r="AC132" s="73">
        <f t="shared" ca="1" si="390"/>
        <v>1</v>
      </c>
      <c r="AD132" s="64"/>
      <c r="AE132" s="74" t="s">
        <v>77</v>
      </c>
      <c r="AF132" s="73">
        <f t="shared" ca="1" si="391"/>
        <v>1</v>
      </c>
      <c r="AG132" s="64"/>
      <c r="AH132" s="74" t="s">
        <v>77</v>
      </c>
      <c r="AI132" s="73">
        <f t="shared" ca="1" si="392"/>
        <v>1</v>
      </c>
      <c r="AJ132" s="64"/>
      <c r="AK132" s="792" t="s">
        <v>77</v>
      </c>
      <c r="AL132" s="73">
        <f t="shared" ca="1" si="393"/>
        <v>1</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1</v>
      </c>
      <c r="G133" s="445">
        <f ca="1">VLOOKUP(H133,Equipos!$Q$1:$R$25,2,0)</f>
        <v>19</v>
      </c>
      <c r="H133" s="447" t="str">
        <f>Idiomas!$D$137</f>
        <v>CLASIFICADOS PARA DIECISEISAVOS</v>
      </c>
      <c r="I133" s="50"/>
      <c r="J133" s="846"/>
      <c r="K133" s="56" t="str">
        <f>Idiomas!$D$198&amp;"-"&amp;ROWS($L$130:L133)</f>
        <v>Dieciseisavofinalista-4</v>
      </c>
      <c r="L133" s="53"/>
      <c r="M133" s="55" t="str">
        <f ca="1">WORLDCUP!AA104</f>
        <v>Países Bajos</v>
      </c>
      <c r="N133" s="25"/>
      <c r="O133" s="25"/>
      <c r="P133" s="25"/>
      <c r="Q133" s="25"/>
      <c r="R133" s="110"/>
      <c r="S133" s="74" t="s">
        <v>111</v>
      </c>
      <c r="T133" s="73">
        <f t="shared" ca="1" si="387"/>
        <v>1</v>
      </c>
      <c r="U133" s="64"/>
      <c r="V133" s="74" t="s">
        <v>111</v>
      </c>
      <c r="W133" s="73">
        <f t="shared" ca="1" si="388"/>
        <v>1</v>
      </c>
      <c r="X133" s="64"/>
      <c r="Y133" s="74" t="s">
        <v>111</v>
      </c>
      <c r="Z133" s="73">
        <f t="shared" ca="1" si="389"/>
        <v>1</v>
      </c>
      <c r="AA133" s="64"/>
      <c r="AB133" s="74" t="s">
        <v>111</v>
      </c>
      <c r="AC133" s="73">
        <f t="shared" ca="1" si="390"/>
        <v>1</v>
      </c>
      <c r="AD133" s="64"/>
      <c r="AE133" s="74" t="s">
        <v>1263</v>
      </c>
      <c r="AF133" s="73">
        <f t="shared" ca="1" si="391"/>
        <v>1</v>
      </c>
      <c r="AG133" s="64"/>
      <c r="AH133" s="74" t="s">
        <v>111</v>
      </c>
      <c r="AI133" s="73">
        <f t="shared" ca="1" si="392"/>
        <v>1</v>
      </c>
      <c r="AJ133" s="64"/>
      <c r="AK133" s="792" t="s">
        <v>111</v>
      </c>
      <c r="AL133" s="73">
        <f t="shared" ca="1" si="393"/>
        <v>1</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1</v>
      </c>
      <c r="G134" s="445">
        <f ca="1">VLOOKUP(H134,Equipos!$Q$1:$R$25,2,0)</f>
        <v>19</v>
      </c>
      <c r="H134" s="447" t="str">
        <f>Idiomas!$D$137</f>
        <v>CLASIFICADOS PARA DIECISEISAVOS</v>
      </c>
      <c r="I134" s="50"/>
      <c r="J134" s="846"/>
      <c r="K134" s="56" t="str">
        <f>Idiomas!$D$198&amp;"-"&amp;ROWS($L$130:L134)</f>
        <v>Dieciseisavofinalista-5</v>
      </c>
      <c r="L134" s="53"/>
      <c r="M134" s="55" t="str">
        <f ca="1">WORLDCUP!AA105</f>
        <v>Costa de Marfil</v>
      </c>
      <c r="N134" s="25"/>
      <c r="O134" s="25"/>
      <c r="P134" s="25"/>
      <c r="Q134" s="25"/>
      <c r="R134" s="110"/>
      <c r="S134" s="74" t="s">
        <v>1261</v>
      </c>
      <c r="T134" s="73">
        <f t="shared" ca="1" si="387"/>
        <v>1</v>
      </c>
      <c r="U134" s="64"/>
      <c r="V134" s="74" t="s">
        <v>1633</v>
      </c>
      <c r="W134" s="73">
        <f t="shared" ca="1" si="388"/>
        <v>1</v>
      </c>
      <c r="X134" s="64"/>
      <c r="Y134" s="74" t="s">
        <v>1261</v>
      </c>
      <c r="Z134" s="73">
        <f t="shared" ca="1" si="389"/>
        <v>1</v>
      </c>
      <c r="AA134" s="64"/>
      <c r="AB134" s="74" t="s">
        <v>1261</v>
      </c>
      <c r="AC134" s="73">
        <f t="shared" ca="1" si="390"/>
        <v>1</v>
      </c>
      <c r="AD134" s="64"/>
      <c r="AE134" s="74" t="s">
        <v>1633</v>
      </c>
      <c r="AF134" s="73">
        <f t="shared" ca="1" si="391"/>
        <v>1</v>
      </c>
      <c r="AG134" s="64"/>
      <c r="AH134" s="74" t="s">
        <v>1261</v>
      </c>
      <c r="AI134" s="73">
        <f t="shared" ca="1" si="392"/>
        <v>1</v>
      </c>
      <c r="AJ134" s="64"/>
      <c r="AK134" s="792" t="s">
        <v>1261</v>
      </c>
      <c r="AL134" s="73">
        <f t="shared" ca="1" si="393"/>
        <v>1</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1</v>
      </c>
      <c r="G135" s="445">
        <f ca="1">VLOOKUP(H135,Equipos!$Q$1:$R$25,2,0)</f>
        <v>19</v>
      </c>
      <c r="H135" s="447" t="str">
        <f>Idiomas!$D$137</f>
        <v>CLASIFICADOS PARA DIECISEISAVOS</v>
      </c>
      <c r="I135" s="50"/>
      <c r="J135" s="846"/>
      <c r="K135" s="56" t="str">
        <f>Idiomas!$D$198&amp;"-"&amp;ROWS($L$130:L135)</f>
        <v>Dieciseisavofinalista-6</v>
      </c>
      <c r="L135" s="53"/>
      <c r="M135" s="55" t="str">
        <f ca="1">WORLDCUP!AA106</f>
        <v>Francia</v>
      </c>
      <c r="N135" s="25"/>
      <c r="O135" s="25"/>
      <c r="P135" s="25"/>
      <c r="Q135" s="25"/>
      <c r="R135" s="110"/>
      <c r="S135" s="74" t="s">
        <v>74</v>
      </c>
      <c r="T135" s="73">
        <f t="shared" ca="1" si="387"/>
        <v>1</v>
      </c>
      <c r="U135" s="64"/>
      <c r="V135" s="74" t="s">
        <v>74</v>
      </c>
      <c r="W135" s="73">
        <f t="shared" ca="1" si="388"/>
        <v>1</v>
      </c>
      <c r="X135" s="64"/>
      <c r="Y135" s="74" t="s">
        <v>74</v>
      </c>
      <c r="Z135" s="73">
        <f t="shared" ca="1" si="389"/>
        <v>1</v>
      </c>
      <c r="AA135" s="64"/>
      <c r="AB135" s="74" t="s">
        <v>74</v>
      </c>
      <c r="AC135" s="73">
        <f t="shared" ca="1" si="390"/>
        <v>1</v>
      </c>
      <c r="AD135" s="64"/>
      <c r="AE135" s="74" t="s">
        <v>74</v>
      </c>
      <c r="AF135" s="73">
        <f t="shared" ca="1" si="391"/>
        <v>1</v>
      </c>
      <c r="AG135" s="64"/>
      <c r="AH135" s="74" t="s">
        <v>74</v>
      </c>
      <c r="AI135" s="73">
        <f t="shared" ca="1" si="392"/>
        <v>1</v>
      </c>
      <c r="AJ135" s="64"/>
      <c r="AK135" s="792" t="s">
        <v>74</v>
      </c>
      <c r="AL135" s="73">
        <f t="shared" ca="1" si="393"/>
        <v>1</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1</v>
      </c>
      <c r="G136" s="445">
        <f ca="1">VLOOKUP(H136,Equipos!$Q$1:$R$25,2,0)</f>
        <v>19</v>
      </c>
      <c r="H136" s="447" t="str">
        <f>Idiomas!$D$137</f>
        <v>CLASIFICADOS PARA DIECISEISAVOS</v>
      </c>
      <c r="I136" s="50"/>
      <c r="J136" s="846"/>
      <c r="K136" s="56" t="str">
        <f>Idiomas!$D$198&amp;"-"&amp;ROWS($L$130:L136)</f>
        <v>Dieciseisavofinalista-7</v>
      </c>
      <c r="L136" s="53"/>
      <c r="M136" s="55" t="str">
        <f ca="1">WORLDCUP!AA107</f>
        <v>México</v>
      </c>
      <c r="N136" s="25"/>
      <c r="O136" s="25"/>
      <c r="P136" s="25"/>
      <c r="Q136" s="25"/>
      <c r="R136" s="110"/>
      <c r="S136" s="74" t="s">
        <v>1265</v>
      </c>
      <c r="T136" s="73">
        <f t="shared" ca="1" si="387"/>
        <v>1</v>
      </c>
      <c r="U136" s="64"/>
      <c r="V136" s="74" t="s">
        <v>1265</v>
      </c>
      <c r="W136" s="73">
        <f t="shared" ca="1" si="388"/>
        <v>1</v>
      </c>
      <c r="X136" s="64"/>
      <c r="Y136" s="74" t="s">
        <v>1843</v>
      </c>
      <c r="Z136" s="73">
        <f t="shared" ca="1" si="389"/>
        <v>0</v>
      </c>
      <c r="AA136" s="64"/>
      <c r="AB136" s="74" t="s">
        <v>1265</v>
      </c>
      <c r="AC136" s="73">
        <f t="shared" ca="1" si="390"/>
        <v>1</v>
      </c>
      <c r="AD136" s="64"/>
      <c r="AE136" s="74" t="s">
        <v>1843</v>
      </c>
      <c r="AF136" s="73">
        <f t="shared" ca="1" si="391"/>
        <v>0</v>
      </c>
      <c r="AG136" s="64"/>
      <c r="AH136" s="74" t="s">
        <v>1265</v>
      </c>
      <c r="AI136" s="73">
        <f t="shared" ca="1" si="392"/>
        <v>1</v>
      </c>
      <c r="AJ136" s="64"/>
      <c r="AK136" s="792" t="s">
        <v>1260</v>
      </c>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1</v>
      </c>
      <c r="G137" s="445">
        <f ca="1">VLOOKUP(H137,Equipos!$Q$1:$R$25,2,0)</f>
        <v>19</v>
      </c>
      <c r="H137" s="447" t="str">
        <f>Idiomas!$D$137</f>
        <v>CLASIFICADOS PARA DIECISEISAVOS</v>
      </c>
      <c r="I137" s="50"/>
      <c r="J137" s="846"/>
      <c r="K137" s="56" t="str">
        <f>Idiomas!$D$198&amp;"-"&amp;ROWS($L$130:L137)</f>
        <v>Dieciseisavofinalista-8</v>
      </c>
      <c r="L137" s="53"/>
      <c r="M137" s="55" t="str">
        <f ca="1">WORLDCUP!AA108</f>
        <v>Inglaterra</v>
      </c>
      <c r="N137" s="25"/>
      <c r="O137" s="25"/>
      <c r="P137" s="25"/>
      <c r="Q137" s="25"/>
      <c r="R137" s="110"/>
      <c r="S137" s="74" t="s">
        <v>76</v>
      </c>
      <c r="T137" s="73">
        <f t="shared" ca="1" si="387"/>
        <v>1</v>
      </c>
      <c r="U137" s="64"/>
      <c r="V137" s="74" t="s">
        <v>76</v>
      </c>
      <c r="W137" s="73">
        <f t="shared" ca="1" si="388"/>
        <v>1</v>
      </c>
      <c r="X137" s="64"/>
      <c r="Y137" s="74" t="s">
        <v>76</v>
      </c>
      <c r="Z137" s="73">
        <f t="shared" ca="1" si="389"/>
        <v>1</v>
      </c>
      <c r="AA137" s="64"/>
      <c r="AB137" s="74" t="s">
        <v>76</v>
      </c>
      <c r="AC137" s="73">
        <f t="shared" ca="1" si="390"/>
        <v>1</v>
      </c>
      <c r="AD137" s="64"/>
      <c r="AE137" s="74" t="s">
        <v>1551</v>
      </c>
      <c r="AF137" s="73">
        <f t="shared" ca="1" si="391"/>
        <v>1</v>
      </c>
      <c r="AG137" s="64"/>
      <c r="AH137" s="74" t="s">
        <v>76</v>
      </c>
      <c r="AI137" s="73">
        <f t="shared" ca="1" si="392"/>
        <v>1</v>
      </c>
      <c r="AJ137" s="64"/>
      <c r="AK137" s="792" t="s">
        <v>76</v>
      </c>
      <c r="AL137" s="73">
        <f t="shared" ca="1" si="393"/>
        <v>1</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1</v>
      </c>
      <c r="G138" s="445">
        <f ca="1">VLOOKUP(H138,Equipos!$Q$1:$R$25,2,0)</f>
        <v>19</v>
      </c>
      <c r="H138" s="447" t="str">
        <f>Idiomas!$D$137</f>
        <v>CLASIFICADOS PARA DIECISEISAVOS</v>
      </c>
      <c r="I138" s="50"/>
      <c r="J138" s="846"/>
      <c r="K138" s="56" t="str">
        <f>Idiomas!$D$198&amp;"-"&amp;ROWS($L$130:L138)</f>
        <v>Dieciseisavofinalista-9</v>
      </c>
      <c r="L138" s="53"/>
      <c r="M138" s="55" t="str">
        <f ca="1">WORLDCUP!AA109</f>
        <v>Bélgica</v>
      </c>
      <c r="N138" s="25"/>
      <c r="O138" s="25"/>
      <c r="P138" s="25"/>
      <c r="Q138" s="25"/>
      <c r="R138" s="110"/>
      <c r="S138" s="74" t="s">
        <v>110</v>
      </c>
      <c r="T138" s="73">
        <f t="shared" ca="1" si="387"/>
        <v>1</v>
      </c>
      <c r="U138" s="64"/>
      <c r="V138" s="74" t="s">
        <v>110</v>
      </c>
      <c r="W138" s="73">
        <f t="shared" ca="1" si="388"/>
        <v>1</v>
      </c>
      <c r="X138" s="64"/>
      <c r="Y138" s="74" t="s">
        <v>110</v>
      </c>
      <c r="Z138" s="73">
        <f t="shared" ca="1" si="389"/>
        <v>1</v>
      </c>
      <c r="AA138" s="64"/>
      <c r="AB138" s="74" t="s">
        <v>110</v>
      </c>
      <c r="AC138" s="73">
        <f t="shared" ca="1" si="390"/>
        <v>1</v>
      </c>
      <c r="AD138" s="64"/>
      <c r="AE138" s="74" t="s">
        <v>110</v>
      </c>
      <c r="AF138" s="73">
        <f t="shared" ca="1" si="391"/>
        <v>1</v>
      </c>
      <c r="AG138" s="64"/>
      <c r="AH138" s="74" t="s">
        <v>110</v>
      </c>
      <c r="AI138" s="73">
        <f t="shared" ca="1" si="392"/>
        <v>1</v>
      </c>
      <c r="AJ138" s="64"/>
      <c r="AK138" s="792" t="s">
        <v>110</v>
      </c>
      <c r="AL138" s="73">
        <f t="shared" ca="1" si="393"/>
        <v>1</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1</v>
      </c>
      <c r="G139" s="445">
        <f ca="1">VLOOKUP(H139,Equipos!$Q$1:$R$25,2,0)</f>
        <v>19</v>
      </c>
      <c r="H139" s="447" t="str">
        <f>Idiomas!$D$137</f>
        <v>CLASIFICADOS PARA DIECISEISAVOS</v>
      </c>
      <c r="I139" s="50"/>
      <c r="J139" s="846"/>
      <c r="K139" s="56" t="str">
        <f>Idiomas!$D$198&amp;"-"&amp;ROWS($L$130:L139)</f>
        <v>Dieciseisavofinalista-10</v>
      </c>
      <c r="L139" s="53"/>
      <c r="M139" s="55" t="str">
        <f ca="1">WORLDCUP!AA110</f>
        <v>Estados Unidos</v>
      </c>
      <c r="N139" s="25"/>
      <c r="O139" s="25"/>
      <c r="P139" s="25"/>
      <c r="Q139" s="25"/>
      <c r="R139" s="110"/>
      <c r="S139" s="74" t="s">
        <v>497</v>
      </c>
      <c r="T139" s="73">
        <f t="shared" ca="1" si="387"/>
        <v>1</v>
      </c>
      <c r="U139" s="64"/>
      <c r="V139" s="74" t="s">
        <v>497</v>
      </c>
      <c r="W139" s="73">
        <f t="shared" ca="1" si="388"/>
        <v>1</v>
      </c>
      <c r="X139" s="64"/>
      <c r="Y139" s="74" t="s">
        <v>1835</v>
      </c>
      <c r="Z139" s="73">
        <f t="shared" ca="1" si="389"/>
        <v>0</v>
      </c>
      <c r="AA139" s="64"/>
      <c r="AB139" s="74" t="s">
        <v>1835</v>
      </c>
      <c r="AC139" s="73">
        <f t="shared" ca="1" si="390"/>
        <v>0</v>
      </c>
      <c r="AD139" s="64"/>
      <c r="AE139" s="74" t="s">
        <v>1835</v>
      </c>
      <c r="AF139" s="73">
        <f t="shared" ca="1" si="391"/>
        <v>0</v>
      </c>
      <c r="AG139" s="64"/>
      <c r="AH139" s="74" t="s">
        <v>497</v>
      </c>
      <c r="AI139" s="73">
        <f t="shared" ca="1" si="392"/>
        <v>1</v>
      </c>
      <c r="AJ139" s="64"/>
      <c r="AK139" s="792" t="s">
        <v>1835</v>
      </c>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1</v>
      </c>
      <c r="G140" s="445">
        <f ca="1">VLOOKUP(H140,Equipos!$Q$1:$R$25,2,0)</f>
        <v>19</v>
      </c>
      <c r="H140" s="447" t="str">
        <f>Idiomas!$D$137</f>
        <v>CLASIFICADOS PARA DIECISEISAVOS</v>
      </c>
      <c r="I140" s="50"/>
      <c r="J140" s="846"/>
      <c r="K140" s="56" t="str">
        <f>Idiomas!$D$198&amp;"-"&amp;ROWS($L$130:L140)</f>
        <v>Dieciseisavofinalista-11</v>
      </c>
      <c r="L140" s="53"/>
      <c r="M140" s="55" t="str">
        <f ca="1">WORLDCUP!AA111</f>
        <v>España</v>
      </c>
      <c r="N140" s="25"/>
      <c r="O140" s="25"/>
      <c r="P140" s="25"/>
      <c r="Q140" s="25"/>
      <c r="R140" s="110"/>
      <c r="S140" s="74" t="s">
        <v>38</v>
      </c>
      <c r="T140" s="73">
        <f t="shared" ca="1" si="387"/>
        <v>1</v>
      </c>
      <c r="U140" s="64"/>
      <c r="V140" s="74" t="s">
        <v>38</v>
      </c>
      <c r="W140" s="73">
        <f t="shared" ca="1" si="388"/>
        <v>1</v>
      </c>
      <c r="X140" s="64"/>
      <c r="Y140" s="74" t="s">
        <v>38</v>
      </c>
      <c r="Z140" s="73">
        <f t="shared" ca="1" si="389"/>
        <v>1</v>
      </c>
      <c r="AA140" s="64"/>
      <c r="AB140" s="74" t="s">
        <v>38</v>
      </c>
      <c r="AC140" s="73">
        <f t="shared" ca="1" si="390"/>
        <v>1</v>
      </c>
      <c r="AD140" s="64"/>
      <c r="AE140" s="74" t="s">
        <v>38</v>
      </c>
      <c r="AF140" s="73">
        <f t="shared" ca="1" si="391"/>
        <v>1</v>
      </c>
      <c r="AG140" s="64"/>
      <c r="AH140" s="74" t="s">
        <v>38</v>
      </c>
      <c r="AI140" s="73">
        <f t="shared" ca="1" si="392"/>
        <v>1</v>
      </c>
      <c r="AJ140" s="64"/>
      <c r="AK140" s="792" t="s">
        <v>38</v>
      </c>
      <c r="AL140" s="73">
        <f t="shared" ca="1" si="393"/>
        <v>1</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1</v>
      </c>
      <c r="G141" s="445">
        <f ca="1">VLOOKUP(H141,Equipos!$Q$1:$R$25,2,0)</f>
        <v>19</v>
      </c>
      <c r="H141" s="447" t="str">
        <f>Idiomas!$D$137</f>
        <v>CLASIFICADOS PARA DIECISEISAVOS</v>
      </c>
      <c r="I141" s="50"/>
      <c r="J141" s="846"/>
      <c r="K141" s="56" t="str">
        <f>Idiomas!$D$198&amp;"-"&amp;ROWS($L$130:L141)</f>
        <v>Dieciseisavofinalista-12</v>
      </c>
      <c r="L141" s="53"/>
      <c r="M141" s="55" t="str">
        <f ca="1">WORLDCUP!AA112</f>
        <v>Portugal</v>
      </c>
      <c r="N141" s="25"/>
      <c r="O141" s="25"/>
      <c r="P141" s="25"/>
      <c r="Q141" s="25"/>
      <c r="R141" s="110"/>
      <c r="S141" s="74" t="s">
        <v>1320</v>
      </c>
      <c r="T141" s="73">
        <f t="shared" ca="1" si="387"/>
        <v>1</v>
      </c>
      <c r="U141" s="64"/>
      <c r="V141" s="74" t="s">
        <v>1320</v>
      </c>
      <c r="W141" s="73">
        <f t="shared" ca="1" si="388"/>
        <v>1</v>
      </c>
      <c r="X141" s="64"/>
      <c r="Y141" s="74" t="s">
        <v>1320</v>
      </c>
      <c r="Z141" s="73">
        <f t="shared" ca="1" si="389"/>
        <v>1</v>
      </c>
      <c r="AA141" s="64"/>
      <c r="AB141" s="74" t="s">
        <v>1320</v>
      </c>
      <c r="AC141" s="73">
        <f t="shared" ca="1" si="390"/>
        <v>1</v>
      </c>
      <c r="AD141" s="64"/>
      <c r="AE141" s="74" t="s">
        <v>1320</v>
      </c>
      <c r="AF141" s="73">
        <f t="shared" ca="1" si="391"/>
        <v>1</v>
      </c>
      <c r="AG141" s="64"/>
      <c r="AH141" s="74" t="s">
        <v>1320</v>
      </c>
      <c r="AI141" s="73">
        <f t="shared" ca="1" si="392"/>
        <v>1</v>
      </c>
      <c r="AJ141" s="64"/>
      <c r="AK141" s="792" t="s">
        <v>1320</v>
      </c>
      <c r="AL141" s="73">
        <f t="shared" ca="1" si="393"/>
        <v>1</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1</v>
      </c>
      <c r="G142" s="445">
        <f ca="1">VLOOKUP(H142,Equipos!$Q$1:$R$25,2,0)</f>
        <v>19</v>
      </c>
      <c r="H142" s="447" t="str">
        <f>Idiomas!$D$137</f>
        <v>CLASIFICADOS PARA DIECISEISAVOS</v>
      </c>
      <c r="I142" s="50"/>
      <c r="J142" s="846"/>
      <c r="K142" s="56" t="str">
        <f>Idiomas!$D$198&amp;"-"&amp;ROWS($L$130:L142)</f>
        <v>Dieciseisavofinalista-13</v>
      </c>
      <c r="L142" s="53"/>
      <c r="M142" s="55" t="str">
        <f ca="1">WORLDCUP!AA113</f>
        <v>Suiza</v>
      </c>
      <c r="N142" s="25"/>
      <c r="O142" s="25"/>
      <c r="P142" s="25"/>
      <c r="Q142" s="25"/>
      <c r="R142" s="110"/>
      <c r="S142" s="74" t="s">
        <v>75</v>
      </c>
      <c r="T142" s="73">
        <f t="shared" ca="1" si="387"/>
        <v>1</v>
      </c>
      <c r="U142" s="64"/>
      <c r="V142" s="74" t="s">
        <v>75</v>
      </c>
      <c r="W142" s="73">
        <f t="shared" ca="1" si="388"/>
        <v>1</v>
      </c>
      <c r="X142" s="64"/>
      <c r="Y142" s="74" t="s">
        <v>75</v>
      </c>
      <c r="Z142" s="73">
        <f t="shared" ca="1" si="389"/>
        <v>1</v>
      </c>
      <c r="AA142" s="64"/>
      <c r="AB142" s="74" t="s">
        <v>75</v>
      </c>
      <c r="AC142" s="73">
        <f t="shared" ca="1" si="390"/>
        <v>1</v>
      </c>
      <c r="AD142" s="64"/>
      <c r="AE142" s="74" t="s">
        <v>75</v>
      </c>
      <c r="AF142" s="73">
        <f t="shared" ca="1" si="391"/>
        <v>1</v>
      </c>
      <c r="AG142" s="64"/>
      <c r="AH142" s="74" t="s">
        <v>1259</v>
      </c>
      <c r="AI142" s="73">
        <f t="shared" ca="1" si="392"/>
        <v>1</v>
      </c>
      <c r="AJ142" s="64"/>
      <c r="AK142" s="792" t="s">
        <v>75</v>
      </c>
      <c r="AL142" s="73">
        <f t="shared" ca="1" si="393"/>
        <v>1</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1</v>
      </c>
      <c r="G143" s="445">
        <f ca="1">VLOOKUP(H143,Equipos!$Q$1:$R$25,2,0)</f>
        <v>19</v>
      </c>
      <c r="H143" s="447" t="str">
        <f>Idiomas!$D$137</f>
        <v>CLASIFICADOS PARA DIECISEISAVOS</v>
      </c>
      <c r="I143" s="50"/>
      <c r="J143" s="846"/>
      <c r="K143" s="56" t="str">
        <f>Idiomas!$D$198&amp;"-"&amp;ROWS($L$130:L143)</f>
        <v>Dieciseisavofinalista-14</v>
      </c>
      <c r="L143" s="53"/>
      <c r="M143" s="55" t="str">
        <f ca="1">WORLDCUP!AA114</f>
        <v>Australia</v>
      </c>
      <c r="N143" s="25"/>
      <c r="O143" s="25"/>
      <c r="P143" s="25"/>
      <c r="Q143" s="25"/>
      <c r="R143" s="110"/>
      <c r="S143" s="74" t="s">
        <v>1835</v>
      </c>
      <c r="T143" s="73">
        <f t="shared" ca="1" si="387"/>
        <v>0</v>
      </c>
      <c r="U143" s="64"/>
      <c r="V143" s="74" t="s">
        <v>1835</v>
      </c>
      <c r="W143" s="73">
        <f t="shared" ca="1" si="388"/>
        <v>0</v>
      </c>
      <c r="X143" s="64"/>
      <c r="Y143" s="74" t="s">
        <v>497</v>
      </c>
      <c r="Z143" s="73">
        <f t="shared" ca="1" si="389"/>
        <v>1</v>
      </c>
      <c r="AA143" s="64"/>
      <c r="AB143" s="74" t="s">
        <v>1319</v>
      </c>
      <c r="AC143" s="73">
        <f t="shared" ca="1" si="390"/>
        <v>1</v>
      </c>
      <c r="AD143" s="64"/>
      <c r="AE143" s="74" t="s">
        <v>497</v>
      </c>
      <c r="AF143" s="73">
        <f t="shared" ca="1" si="391"/>
        <v>1</v>
      </c>
      <c r="AG143" s="64"/>
      <c r="AH143" s="74" t="s">
        <v>1257</v>
      </c>
      <c r="AI143" s="73">
        <f t="shared" ca="1" si="392"/>
        <v>1</v>
      </c>
      <c r="AJ143" s="64"/>
      <c r="AK143" s="792" t="s">
        <v>497</v>
      </c>
      <c r="AL143" s="73">
        <f t="shared" ca="1" si="393"/>
        <v>1</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1</v>
      </c>
      <c r="G144" s="445">
        <f ca="1">VLOOKUP(H144,Equipos!$Q$1:$R$25,2,0)</f>
        <v>19</v>
      </c>
      <c r="H144" s="447" t="str">
        <f>Idiomas!$D$137</f>
        <v>CLASIFICADOS PARA DIECISEISAVOS</v>
      </c>
      <c r="I144" s="50"/>
      <c r="J144" s="846"/>
      <c r="K144" s="56" t="str">
        <f>Idiomas!$D$198&amp;"-"&amp;ROWS($L$130:L144)</f>
        <v>Dieciseisavofinalista-15</v>
      </c>
      <c r="L144" s="53"/>
      <c r="M144" s="55" t="str">
        <f ca="1">WORLDCUP!AA115</f>
        <v>Argentina</v>
      </c>
      <c r="N144" s="25"/>
      <c r="O144" s="25"/>
      <c r="P144" s="25"/>
      <c r="Q144" s="25"/>
      <c r="R144" s="110"/>
      <c r="S144" s="74" t="s">
        <v>1256</v>
      </c>
      <c r="T144" s="73">
        <f t="shared" ca="1" si="387"/>
        <v>1</v>
      </c>
      <c r="U144" s="64"/>
      <c r="V144" s="74" t="s">
        <v>1256</v>
      </c>
      <c r="W144" s="73">
        <f t="shared" ca="1" si="388"/>
        <v>1</v>
      </c>
      <c r="X144" s="64"/>
      <c r="Y144" s="74" t="s">
        <v>1256</v>
      </c>
      <c r="Z144" s="73">
        <f t="shared" ca="1" si="389"/>
        <v>1</v>
      </c>
      <c r="AA144" s="64"/>
      <c r="AB144" s="74" t="s">
        <v>1256</v>
      </c>
      <c r="AC144" s="73">
        <f t="shared" ca="1" si="390"/>
        <v>1</v>
      </c>
      <c r="AD144" s="64"/>
      <c r="AE144" s="74" t="s">
        <v>1256</v>
      </c>
      <c r="AF144" s="73">
        <f t="shared" ca="1" si="391"/>
        <v>1</v>
      </c>
      <c r="AG144" s="64"/>
      <c r="AH144" s="74" t="s">
        <v>1256</v>
      </c>
      <c r="AI144" s="73">
        <f t="shared" ca="1" si="392"/>
        <v>1</v>
      </c>
      <c r="AJ144" s="64"/>
      <c r="AK144" s="792" t="s">
        <v>1256</v>
      </c>
      <c r="AL144" s="73">
        <f t="shared" ca="1" si="393"/>
        <v>1</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1</v>
      </c>
      <c r="G145" s="445">
        <f ca="1">VLOOKUP(H145,Equipos!$Q$1:$R$25,2,0)</f>
        <v>19</v>
      </c>
      <c r="H145" s="447" t="str">
        <f>Idiomas!$D$137</f>
        <v>CLASIFICADOS PARA DIECISEISAVOS</v>
      </c>
      <c r="I145" s="50"/>
      <c r="J145" s="846"/>
      <c r="K145" s="56" t="str">
        <f>Idiomas!$D$198&amp;"-"&amp;ROWS($L$130:L145)</f>
        <v>Dieciseisavofinalista-16</v>
      </c>
      <c r="L145" s="53"/>
      <c r="M145" s="55" t="str">
        <f ca="1">WORLDCUP!AA116</f>
        <v>Colombia</v>
      </c>
      <c r="N145" s="25"/>
      <c r="O145" s="25"/>
      <c r="P145" s="25"/>
      <c r="Q145" s="25"/>
      <c r="R145" s="110"/>
      <c r="S145" s="74" t="s">
        <v>79</v>
      </c>
      <c r="T145" s="73">
        <f t="shared" ca="1" si="387"/>
        <v>1</v>
      </c>
      <c r="U145" s="64"/>
      <c r="V145" s="74" t="s">
        <v>79</v>
      </c>
      <c r="W145" s="73">
        <f t="shared" ca="1" si="388"/>
        <v>1</v>
      </c>
      <c r="X145" s="64"/>
      <c r="Y145" s="74" t="s">
        <v>79</v>
      </c>
      <c r="Z145" s="73">
        <f t="shared" ca="1" si="389"/>
        <v>1</v>
      </c>
      <c r="AA145" s="64"/>
      <c r="AB145" s="74" t="s">
        <v>79</v>
      </c>
      <c r="AC145" s="73">
        <f t="shared" ca="1" si="390"/>
        <v>1</v>
      </c>
      <c r="AD145" s="64"/>
      <c r="AE145" s="74" t="s">
        <v>79</v>
      </c>
      <c r="AF145" s="73">
        <f t="shared" ca="1" si="391"/>
        <v>1</v>
      </c>
      <c r="AG145" s="64"/>
      <c r="AH145" s="74" t="s">
        <v>79</v>
      </c>
      <c r="AI145" s="73">
        <f t="shared" ca="1" si="392"/>
        <v>1</v>
      </c>
      <c r="AJ145" s="64"/>
      <c r="AK145" s="792" t="s">
        <v>79</v>
      </c>
      <c r="AL145" s="73">
        <f t="shared" ca="1" si="393"/>
        <v>1</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1</v>
      </c>
      <c r="G146" s="445">
        <f ca="1">VLOOKUP(H146,Equipos!$Q$1:$R$25,2,0)</f>
        <v>19</v>
      </c>
      <c r="H146" s="447" t="str">
        <f>Idiomas!$D$137</f>
        <v>CLASIFICADOS PARA DIECISEISAVOS</v>
      </c>
      <c r="I146" s="50"/>
      <c r="J146" s="846"/>
      <c r="K146" s="56" t="str">
        <f>Idiomas!$D$198&amp;"-"&amp;ROWS($L$130:L146)</f>
        <v>Dieciseisavofinalista-17</v>
      </c>
      <c r="L146" s="53"/>
      <c r="M146" s="55" t="str">
        <f ca="1">WORLDCUP!AF101</f>
        <v>Canadá</v>
      </c>
      <c r="N146" s="25"/>
      <c r="O146" s="25"/>
      <c r="P146" s="25"/>
      <c r="Q146" s="25"/>
      <c r="R146" s="110"/>
      <c r="S146" s="74" t="s">
        <v>1259</v>
      </c>
      <c r="T146" s="73">
        <f t="shared" ca="1" si="387"/>
        <v>1</v>
      </c>
      <c r="U146" s="64"/>
      <c r="V146" s="74" t="s">
        <v>1259</v>
      </c>
      <c r="W146" s="73">
        <f t="shared" ca="1" si="388"/>
        <v>1</v>
      </c>
      <c r="X146" s="64"/>
      <c r="Y146" s="74" t="s">
        <v>1841</v>
      </c>
      <c r="Z146" s="73">
        <f t="shared" ca="1" si="389"/>
        <v>1</v>
      </c>
      <c r="AA146" s="64"/>
      <c r="AB146" s="74" t="s">
        <v>1841</v>
      </c>
      <c r="AC146" s="73">
        <f t="shared" ca="1" si="390"/>
        <v>1</v>
      </c>
      <c r="AD146" s="64"/>
      <c r="AE146" s="74" t="s">
        <v>1841</v>
      </c>
      <c r="AF146" s="73">
        <f t="shared" ca="1" si="391"/>
        <v>1</v>
      </c>
      <c r="AG146" s="64"/>
      <c r="AH146" s="74" t="s">
        <v>75</v>
      </c>
      <c r="AI146" s="73">
        <f t="shared" ca="1" si="392"/>
        <v>1</v>
      </c>
      <c r="AJ146" s="64"/>
      <c r="AK146" s="792" t="s">
        <v>1259</v>
      </c>
      <c r="AL146" s="73">
        <f t="shared" ca="1" si="393"/>
        <v>1</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1</v>
      </c>
      <c r="G147" s="445">
        <f ca="1">VLOOKUP(H147,Equipos!$Q$1:$R$25,2,0)</f>
        <v>19</v>
      </c>
      <c r="H147" s="447" t="str">
        <f>Idiomas!$D$137</f>
        <v>CLASIFICADOS PARA DIECISEISAVOS</v>
      </c>
      <c r="I147" s="50"/>
      <c r="J147" s="846"/>
      <c r="K147" s="56" t="str">
        <f>Idiomas!$D$198&amp;"-"&amp;ROWS($L$130:L147)</f>
        <v>Dieciseisavofinalista-18</v>
      </c>
      <c r="L147" s="53"/>
      <c r="M147" s="55" t="str">
        <f ca="1">WORLDCUP!AF102</f>
        <v>Japón</v>
      </c>
      <c r="N147" s="25"/>
      <c r="O147" s="25"/>
      <c r="P147" s="25"/>
      <c r="Q147" s="25"/>
      <c r="R147" s="110"/>
      <c r="S147" s="74" t="s">
        <v>1263</v>
      </c>
      <c r="T147" s="73">
        <f t="shared" ca="1" si="387"/>
        <v>1</v>
      </c>
      <c r="U147" s="64"/>
      <c r="V147" s="74" t="s">
        <v>1263</v>
      </c>
      <c r="W147" s="73">
        <f t="shared" ca="1" si="388"/>
        <v>1</v>
      </c>
      <c r="X147" s="64"/>
      <c r="Y147" s="74" t="s">
        <v>1833</v>
      </c>
      <c r="Z147" s="73">
        <f t="shared" ca="1" si="389"/>
        <v>1</v>
      </c>
      <c r="AA147" s="64"/>
      <c r="AB147" s="74" t="s">
        <v>1263</v>
      </c>
      <c r="AC147" s="73">
        <f t="shared" ca="1" si="390"/>
        <v>1</v>
      </c>
      <c r="AD147" s="64"/>
      <c r="AE147" s="74" t="s">
        <v>111</v>
      </c>
      <c r="AF147" s="73">
        <f t="shared" ca="1" si="391"/>
        <v>1</v>
      </c>
      <c r="AG147" s="64"/>
      <c r="AH147" s="74" t="s">
        <v>1263</v>
      </c>
      <c r="AI147" s="73">
        <f t="shared" ca="1" si="392"/>
        <v>1</v>
      </c>
      <c r="AJ147" s="64"/>
      <c r="AK147" s="792" t="s">
        <v>1833</v>
      </c>
      <c r="AL147" s="73">
        <f t="shared" ca="1" si="393"/>
        <v>1</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1</v>
      </c>
      <c r="G148" s="445">
        <f ca="1">VLOOKUP(H148,Equipos!$Q$1:$R$25,2,0)</f>
        <v>19</v>
      </c>
      <c r="H148" s="447" t="str">
        <f>Idiomas!$D$137</f>
        <v>CLASIFICADOS PARA DIECISEISAVOS</v>
      </c>
      <c r="I148" s="50"/>
      <c r="J148" s="846"/>
      <c r="K148" s="56" t="str">
        <f>Idiomas!$D$198&amp;"-"&amp;ROWS($L$130:L148)</f>
        <v>Dieciseisavofinalista-19</v>
      </c>
      <c r="L148" s="53"/>
      <c r="M148" s="55" t="str">
        <f ca="1">WORLDCUP!AF103</f>
        <v>Paraguay</v>
      </c>
      <c r="N148" s="25"/>
      <c r="O148" s="25"/>
      <c r="P148" s="25"/>
      <c r="Q148" s="25"/>
      <c r="R148" s="110"/>
      <c r="S148" s="74" t="s">
        <v>134</v>
      </c>
      <c r="T148" s="73">
        <f t="shared" ca="1" si="387"/>
        <v>0</v>
      </c>
      <c r="U148" s="64"/>
      <c r="V148" s="74" t="s">
        <v>1319</v>
      </c>
      <c r="W148" s="73">
        <f t="shared" ca="1" si="388"/>
        <v>1</v>
      </c>
      <c r="X148" s="64"/>
      <c r="Y148" s="74" t="s">
        <v>134</v>
      </c>
      <c r="Z148" s="73">
        <f t="shared" ca="1" si="389"/>
        <v>0</v>
      </c>
      <c r="AA148" s="64"/>
      <c r="AB148" s="74" t="s">
        <v>134</v>
      </c>
      <c r="AC148" s="73">
        <f t="shared" ca="1" si="390"/>
        <v>0</v>
      </c>
      <c r="AD148" s="64"/>
      <c r="AE148" s="74" t="s">
        <v>1319</v>
      </c>
      <c r="AF148" s="73">
        <f t="shared" ca="1" si="391"/>
        <v>1</v>
      </c>
      <c r="AG148" s="64"/>
      <c r="AH148" s="74" t="s">
        <v>1835</v>
      </c>
      <c r="AI148" s="73">
        <f t="shared" ca="1" si="392"/>
        <v>0</v>
      </c>
      <c r="AJ148" s="64"/>
      <c r="AK148" s="792" t="s">
        <v>1319</v>
      </c>
      <c r="AL148" s="73">
        <f t="shared" ca="1" si="393"/>
        <v>1</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1</v>
      </c>
      <c r="G149" s="445">
        <f ca="1">VLOOKUP(H149,Equipos!$Q$1:$R$25,2,0)</f>
        <v>19</v>
      </c>
      <c r="H149" s="447" t="str">
        <f>Idiomas!$D$137</f>
        <v>CLASIFICADOS PARA DIECISEISAVOS</v>
      </c>
      <c r="I149" s="50"/>
      <c r="J149" s="846"/>
      <c r="K149" s="56" t="str">
        <f>Idiomas!$D$198&amp;"-"&amp;ROWS($L$130:L149)</f>
        <v>Dieciseisavofinalista-20</v>
      </c>
      <c r="L149" s="53"/>
      <c r="M149" s="55" t="str">
        <f ca="1">WORLDCUP!AF104</f>
        <v>Marruecos</v>
      </c>
      <c r="N149" s="25"/>
      <c r="O149" s="25"/>
      <c r="P149" s="25"/>
      <c r="Q149" s="25"/>
      <c r="R149" s="110"/>
      <c r="S149" s="74" t="s">
        <v>1321</v>
      </c>
      <c r="T149" s="73">
        <f t="shared" ca="1" si="387"/>
        <v>1</v>
      </c>
      <c r="U149" s="64"/>
      <c r="V149" s="74" t="s">
        <v>1321</v>
      </c>
      <c r="W149" s="73">
        <f t="shared" ca="1" si="388"/>
        <v>1</v>
      </c>
      <c r="X149" s="64"/>
      <c r="Y149" s="74" t="s">
        <v>1321</v>
      </c>
      <c r="Z149" s="73">
        <f t="shared" ca="1" si="389"/>
        <v>1</v>
      </c>
      <c r="AA149" s="64"/>
      <c r="AB149" s="74" t="s">
        <v>1321</v>
      </c>
      <c r="AC149" s="73">
        <f t="shared" ca="1" si="390"/>
        <v>1</v>
      </c>
      <c r="AD149" s="64"/>
      <c r="AE149" s="74" t="s">
        <v>1321</v>
      </c>
      <c r="AF149" s="73">
        <f t="shared" ca="1" si="391"/>
        <v>1</v>
      </c>
      <c r="AG149" s="64"/>
      <c r="AH149" s="74" t="s">
        <v>134</v>
      </c>
      <c r="AI149" s="73">
        <f t="shared" ca="1" si="392"/>
        <v>0</v>
      </c>
      <c r="AJ149" s="64"/>
      <c r="AK149" s="792" t="s">
        <v>1321</v>
      </c>
      <c r="AL149" s="73">
        <f t="shared" ca="1" si="393"/>
        <v>1</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1</v>
      </c>
      <c r="G150" s="445">
        <f ca="1">VLOOKUP(H150,Equipos!$Q$1:$R$25,2,0)</f>
        <v>19</v>
      </c>
      <c r="H150" s="447" t="str">
        <f>Idiomas!$D$137</f>
        <v>CLASIFICADOS PARA DIECISEISAVOS</v>
      </c>
      <c r="I150" s="50"/>
      <c r="J150" s="846"/>
      <c r="K150" s="56" t="str">
        <f>Idiomas!$D$198&amp;"-"&amp;ROWS($L$130:L150)</f>
        <v>Dieciseisavofinalista-21</v>
      </c>
      <c r="L150" s="53"/>
      <c r="M150" s="55" t="str">
        <f ca="1">WORLDCUP!AF105</f>
        <v>Noruega</v>
      </c>
      <c r="N150" s="25"/>
      <c r="O150" s="25"/>
      <c r="P150" s="25"/>
      <c r="Q150" s="25"/>
      <c r="R150" s="110"/>
      <c r="S150" s="74" t="s">
        <v>135</v>
      </c>
      <c r="T150" s="73">
        <f t="shared" ca="1" si="387"/>
        <v>1</v>
      </c>
      <c r="U150" s="64"/>
      <c r="V150" s="74" t="s">
        <v>1634</v>
      </c>
      <c r="W150" s="73">
        <f t="shared" ca="1" si="388"/>
        <v>1</v>
      </c>
      <c r="X150" s="64"/>
      <c r="Y150" s="74" t="s">
        <v>135</v>
      </c>
      <c r="Z150" s="73">
        <f t="shared" ca="1" si="389"/>
        <v>1</v>
      </c>
      <c r="AA150" s="64"/>
      <c r="AB150" s="74" t="s">
        <v>135</v>
      </c>
      <c r="AC150" s="73">
        <f t="shared" ca="1" si="390"/>
        <v>1</v>
      </c>
      <c r="AD150" s="64"/>
      <c r="AE150" s="74" t="s">
        <v>135</v>
      </c>
      <c r="AF150" s="73">
        <f t="shared" ca="1" si="391"/>
        <v>1</v>
      </c>
      <c r="AG150" s="64"/>
      <c r="AH150" s="74" t="s">
        <v>135</v>
      </c>
      <c r="AI150" s="73">
        <f t="shared" ca="1" si="392"/>
        <v>1</v>
      </c>
      <c r="AJ150" s="64"/>
      <c r="AK150" s="792" t="s">
        <v>135</v>
      </c>
      <c r="AL150" s="73">
        <f t="shared" ca="1" si="393"/>
        <v>1</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1</v>
      </c>
      <c r="G151" s="445">
        <f ca="1">VLOOKUP(H151,Equipos!$Q$1:$R$25,2,0)</f>
        <v>19</v>
      </c>
      <c r="H151" s="447" t="str">
        <f>Idiomas!$D$137</f>
        <v>CLASIFICADOS PARA DIECISEISAVOS</v>
      </c>
      <c r="I151" s="50"/>
      <c r="J151" s="846"/>
      <c r="K151" s="56" t="str">
        <f>Idiomas!$D$198&amp;"-"&amp;ROWS($L$130:L151)</f>
        <v>Dieciseisavofinalista-22</v>
      </c>
      <c r="L151" s="53"/>
      <c r="M151" s="55" t="str">
        <f ca="1">WORLDCUP!AF106</f>
        <v>Suecia</v>
      </c>
      <c r="N151" s="25"/>
      <c r="O151" s="25"/>
      <c r="P151" s="25"/>
      <c r="Q151" s="25"/>
      <c r="R151" s="110"/>
      <c r="S151" s="74" t="s">
        <v>1833</v>
      </c>
      <c r="T151" s="73">
        <f t="shared" ca="1" si="387"/>
        <v>1</v>
      </c>
      <c r="U151" s="64"/>
      <c r="V151" s="74" t="s">
        <v>1833</v>
      </c>
      <c r="W151" s="73">
        <f t="shared" ca="1" si="388"/>
        <v>1</v>
      </c>
      <c r="X151" s="64"/>
      <c r="Y151" s="74" t="s">
        <v>1262</v>
      </c>
      <c r="Z151" s="73">
        <f t="shared" ca="1" si="389"/>
        <v>0</v>
      </c>
      <c r="AA151" s="64"/>
      <c r="AB151" s="74" t="s">
        <v>497</v>
      </c>
      <c r="AC151" s="73">
        <f t="shared" ca="1" si="390"/>
        <v>1</v>
      </c>
      <c r="AD151" s="64"/>
      <c r="AE151" s="74" t="s">
        <v>1833</v>
      </c>
      <c r="AF151" s="73">
        <f t="shared" ca="1" si="391"/>
        <v>1</v>
      </c>
      <c r="AG151" s="64"/>
      <c r="AH151" s="74" t="s">
        <v>1833</v>
      </c>
      <c r="AI151" s="73">
        <f t="shared" ca="1" si="392"/>
        <v>1</v>
      </c>
      <c r="AJ151" s="64"/>
      <c r="AK151" s="792" t="s">
        <v>1263</v>
      </c>
      <c r="AL151" s="73">
        <f t="shared" ca="1" si="393"/>
        <v>1</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1</v>
      </c>
      <c r="G152" s="445">
        <f ca="1">VLOOKUP(H152,Equipos!$Q$1:$R$25,2,0)</f>
        <v>19</v>
      </c>
      <c r="H152" s="447" t="str">
        <f>Idiomas!$D$137</f>
        <v>CLASIFICADOS PARA DIECISEISAVOS</v>
      </c>
      <c r="I152" s="50"/>
      <c r="J152" s="846"/>
      <c r="K152" s="56" t="str">
        <f>Idiomas!$D$198&amp;"-"&amp;ROWS($L$130:L152)</f>
        <v>Dieciseisavofinalista-23</v>
      </c>
      <c r="L152" s="53"/>
      <c r="M152" s="55" t="str">
        <f ca="1">WORLDCUP!AF107</f>
        <v>Ecuador</v>
      </c>
      <c r="N152" s="25"/>
      <c r="O152" s="25"/>
      <c r="P152" s="25"/>
      <c r="Q152" s="25"/>
      <c r="R152" s="110"/>
      <c r="S152" s="74" t="s">
        <v>1633</v>
      </c>
      <c r="T152" s="73">
        <f t="shared" ca="1" si="387"/>
        <v>1</v>
      </c>
      <c r="U152" s="64"/>
      <c r="V152" s="74" t="s">
        <v>1632</v>
      </c>
      <c r="W152" s="73">
        <f t="shared" ca="1" si="388"/>
        <v>0</v>
      </c>
      <c r="X152" s="64"/>
      <c r="Y152" s="74" t="s">
        <v>1633</v>
      </c>
      <c r="Z152" s="73">
        <f t="shared" ca="1" si="389"/>
        <v>1</v>
      </c>
      <c r="AA152" s="64"/>
      <c r="AB152" s="74" t="s">
        <v>1633</v>
      </c>
      <c r="AC152" s="73">
        <f t="shared" ca="1" si="390"/>
        <v>1</v>
      </c>
      <c r="AD152" s="64"/>
      <c r="AE152" s="74" t="s">
        <v>134</v>
      </c>
      <c r="AF152" s="73">
        <f t="shared" ca="1" si="391"/>
        <v>0</v>
      </c>
      <c r="AG152" s="64"/>
      <c r="AH152" s="74" t="s">
        <v>1321</v>
      </c>
      <c r="AI152" s="73">
        <f t="shared" ca="1" si="392"/>
        <v>1</v>
      </c>
      <c r="AJ152" s="64"/>
      <c r="AK152" s="792" t="s">
        <v>134</v>
      </c>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1</v>
      </c>
      <c r="G153" s="445">
        <f ca="1">VLOOKUP(H153,Equipos!$Q$1:$R$25,2,0)</f>
        <v>19</v>
      </c>
      <c r="H153" s="447" t="str">
        <f>Idiomas!$D$137</f>
        <v>CLASIFICADOS PARA DIECISEISAVOS</v>
      </c>
      <c r="I153" s="50"/>
      <c r="J153" s="846"/>
      <c r="K153" s="56" t="str">
        <f>Idiomas!$D$198&amp;"-"&amp;ROWS($L$130:L153)</f>
        <v>Dieciseisavofinalista-24</v>
      </c>
      <c r="L153" s="53"/>
      <c r="M153" s="55" t="str">
        <f ca="1">WORLDCUP!AF108</f>
        <v>RD Congo</v>
      </c>
      <c r="N153" s="25"/>
      <c r="O153" s="25"/>
      <c r="P153" s="25"/>
      <c r="Q153" s="25"/>
      <c r="R153" s="110"/>
      <c r="S153" s="74" t="s">
        <v>1634</v>
      </c>
      <c r="T153" s="73">
        <f t="shared" ca="1" si="387"/>
        <v>1</v>
      </c>
      <c r="U153" s="64"/>
      <c r="V153" s="74" t="s">
        <v>135</v>
      </c>
      <c r="W153" s="73">
        <f t="shared" ca="1" si="388"/>
        <v>1</v>
      </c>
      <c r="X153" s="64"/>
      <c r="Y153" s="74" t="s">
        <v>1634</v>
      </c>
      <c r="Z153" s="73">
        <f t="shared" ca="1" si="389"/>
        <v>1</v>
      </c>
      <c r="AA153" s="64"/>
      <c r="AB153" s="74" t="s">
        <v>1558</v>
      </c>
      <c r="AC153" s="73">
        <f t="shared" ca="1" si="390"/>
        <v>1</v>
      </c>
      <c r="AD153" s="64"/>
      <c r="AE153" s="74" t="s">
        <v>1839</v>
      </c>
      <c r="AF153" s="73">
        <f t="shared" ca="1" si="391"/>
        <v>1</v>
      </c>
      <c r="AG153" s="64"/>
      <c r="AH153" s="74" t="s">
        <v>1267</v>
      </c>
      <c r="AI153" s="73">
        <f t="shared" ca="1" si="392"/>
        <v>0</v>
      </c>
      <c r="AJ153" s="64"/>
      <c r="AK153" s="792" t="s">
        <v>1634</v>
      </c>
      <c r="AL153" s="73">
        <f t="shared" ca="1" si="393"/>
        <v>1</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1</v>
      </c>
      <c r="G154" s="445">
        <f ca="1">VLOOKUP(H154,Equipos!$Q$1:$R$25,2,0)</f>
        <v>19</v>
      </c>
      <c r="H154" s="447" t="str">
        <f>Idiomas!$D$137</f>
        <v>CLASIFICADOS PARA DIECISEISAVOS</v>
      </c>
      <c r="I154" s="50"/>
      <c r="J154" s="846"/>
      <c r="K154" s="56" t="str">
        <f>Idiomas!$D$198&amp;"-"&amp;ROWS($L$130:L154)</f>
        <v>Dieciseisavofinalista-25</v>
      </c>
      <c r="L154" s="53"/>
      <c r="M154" s="55" t="str">
        <f ca="1">WORLDCUP!AF109</f>
        <v>Senegal</v>
      </c>
      <c r="N154" s="25"/>
      <c r="O154" s="25"/>
      <c r="P154" s="25"/>
      <c r="Q154" s="25"/>
      <c r="R154" s="110"/>
      <c r="S154" s="74" t="s">
        <v>1558</v>
      </c>
      <c r="T154" s="73">
        <f t="shared" ca="1" si="387"/>
        <v>1</v>
      </c>
      <c r="U154" s="64"/>
      <c r="V154" s="74" t="s">
        <v>1260</v>
      </c>
      <c r="W154" s="73">
        <f t="shared" ca="1" si="388"/>
        <v>0</v>
      </c>
      <c r="X154" s="64"/>
      <c r="Y154" s="74" t="s">
        <v>1260</v>
      </c>
      <c r="Z154" s="73">
        <f t="shared" ca="1" si="389"/>
        <v>0</v>
      </c>
      <c r="AA154" s="64"/>
      <c r="AB154" s="74" t="s">
        <v>1260</v>
      </c>
      <c r="AC154" s="73">
        <f t="shared" ca="1" si="390"/>
        <v>0</v>
      </c>
      <c r="AD154" s="64"/>
      <c r="AE154" s="74" t="s">
        <v>1265</v>
      </c>
      <c r="AF154" s="73">
        <f t="shared" ca="1" si="391"/>
        <v>1</v>
      </c>
      <c r="AG154" s="64"/>
      <c r="AH154" s="74" t="s">
        <v>1632</v>
      </c>
      <c r="AI154" s="73">
        <f t="shared" ca="1" si="392"/>
        <v>0</v>
      </c>
      <c r="AJ154" s="64"/>
      <c r="AK154" s="792" t="s">
        <v>1843</v>
      </c>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1</v>
      </c>
      <c r="G155" s="445">
        <f ca="1">VLOOKUP(H155,Equipos!$Q$1:$R$25,2,0)</f>
        <v>19</v>
      </c>
      <c r="H155" s="447" t="str">
        <f>Idiomas!$D$137</f>
        <v>CLASIFICADOS PARA DIECISEISAVOS</v>
      </c>
      <c r="I155" s="50"/>
      <c r="J155" s="846"/>
      <c r="K155" s="56" t="str">
        <f>Idiomas!$D$198&amp;"-"&amp;ROWS($L$130:L155)</f>
        <v>Dieciseisavofinalista-26</v>
      </c>
      <c r="L155" s="53"/>
      <c r="M155" s="55" t="str">
        <f ca="1">WORLDCUP!AF110</f>
        <v>Bosnia y Herzegovina</v>
      </c>
      <c r="N155" s="25"/>
      <c r="O155" s="25"/>
      <c r="P155" s="25"/>
      <c r="Q155" s="25"/>
      <c r="R155" s="110"/>
      <c r="S155" s="74" t="s">
        <v>1841</v>
      </c>
      <c r="T155" s="73">
        <f t="shared" ca="1" si="387"/>
        <v>1</v>
      </c>
      <c r="U155" s="64"/>
      <c r="V155" s="74" t="s">
        <v>1631</v>
      </c>
      <c r="W155" s="73">
        <f t="shared" ca="1" si="388"/>
        <v>0</v>
      </c>
      <c r="X155" s="64"/>
      <c r="Y155" s="74" t="s">
        <v>1259</v>
      </c>
      <c r="Z155" s="73">
        <f t="shared" ca="1" si="389"/>
        <v>1</v>
      </c>
      <c r="AA155" s="64"/>
      <c r="AB155" s="74" t="s">
        <v>1259</v>
      </c>
      <c r="AC155" s="73">
        <f t="shared" ca="1" si="390"/>
        <v>1</v>
      </c>
      <c r="AD155" s="64"/>
      <c r="AE155" s="74" t="s">
        <v>1634</v>
      </c>
      <c r="AF155" s="73">
        <f t="shared" ca="1" si="391"/>
        <v>1</v>
      </c>
      <c r="AG155" s="64"/>
      <c r="AH155" s="74" t="s">
        <v>1633</v>
      </c>
      <c r="AI155" s="73">
        <f t="shared" ca="1" si="392"/>
        <v>1</v>
      </c>
      <c r="AJ155" s="64"/>
      <c r="AK155" s="792" t="s">
        <v>1841</v>
      </c>
      <c r="AL155" s="73">
        <f t="shared" ca="1" si="393"/>
        <v>1</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1</v>
      </c>
      <c r="G156" s="445">
        <f ca="1">VLOOKUP(H156,Equipos!$Q$1:$R$25,2,0)</f>
        <v>19</v>
      </c>
      <c r="H156" s="447" t="str">
        <f>Idiomas!$D$137</f>
        <v>CLASIFICADOS PARA DIECISEISAVOS</v>
      </c>
      <c r="I156" s="50"/>
      <c r="J156" s="846"/>
      <c r="K156" s="56" t="str">
        <f>Idiomas!$D$198&amp;"-"&amp;ROWS($L$130:L156)</f>
        <v>Dieciseisavofinalista-27</v>
      </c>
      <c r="L156" s="53"/>
      <c r="M156" s="55" t="str">
        <f ca="1">WORLDCUP!AF111</f>
        <v>Austria</v>
      </c>
      <c r="N156" s="25"/>
      <c r="O156" s="25"/>
      <c r="P156" s="25"/>
      <c r="Q156" s="25"/>
      <c r="R156" s="110"/>
      <c r="S156" s="74" t="s">
        <v>80</v>
      </c>
      <c r="T156" s="73">
        <f t="shared" ca="1" si="387"/>
        <v>1</v>
      </c>
      <c r="U156" s="64"/>
      <c r="V156" s="74" t="s">
        <v>80</v>
      </c>
      <c r="W156" s="73">
        <f t="shared" ca="1" si="388"/>
        <v>1</v>
      </c>
      <c r="X156" s="64"/>
      <c r="Y156" s="74" t="s">
        <v>1558</v>
      </c>
      <c r="Z156" s="73">
        <f t="shared" ca="1" si="389"/>
        <v>1</v>
      </c>
      <c r="AA156" s="64"/>
      <c r="AB156" s="74" t="s">
        <v>80</v>
      </c>
      <c r="AC156" s="73">
        <f t="shared" ca="1" si="390"/>
        <v>1</v>
      </c>
      <c r="AD156" s="64"/>
      <c r="AE156" s="74" t="s">
        <v>80</v>
      </c>
      <c r="AF156" s="73">
        <f t="shared" ca="1" si="391"/>
        <v>1</v>
      </c>
      <c r="AG156" s="64"/>
      <c r="AH156" s="74" t="s">
        <v>1558</v>
      </c>
      <c r="AI156" s="73">
        <f t="shared" ca="1" si="392"/>
        <v>1</v>
      </c>
      <c r="AJ156" s="64"/>
      <c r="AK156" s="792" t="s">
        <v>80</v>
      </c>
      <c r="AL156" s="73">
        <f t="shared" ca="1" si="393"/>
        <v>1</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1</v>
      </c>
      <c r="G157" s="445">
        <f ca="1">VLOOKUP(H157,Equipos!$Q$1:$R$25,2,0)</f>
        <v>19</v>
      </c>
      <c r="H157" s="447" t="str">
        <f>Idiomas!$D$137</f>
        <v>CLASIFICADOS PARA DIECISEISAVOS</v>
      </c>
      <c r="I157" s="50"/>
      <c r="J157" s="846"/>
      <c r="K157" s="56" t="str">
        <f>Idiomas!$D$198&amp;"-"&amp;ROWS($L$130:L157)</f>
        <v>Dieciseisavofinalista-28</v>
      </c>
      <c r="L157" s="53"/>
      <c r="M157" s="55" t="str">
        <f ca="1">WORLDCUP!AF112</f>
        <v>Croacia</v>
      </c>
      <c r="N157" s="25"/>
      <c r="O157" s="25"/>
      <c r="P157" s="25"/>
      <c r="Q157" s="25"/>
      <c r="R157" s="110"/>
      <c r="S157" s="74" t="s">
        <v>78</v>
      </c>
      <c r="T157" s="73">
        <f t="shared" ca="1" si="387"/>
        <v>1</v>
      </c>
      <c r="U157" s="64"/>
      <c r="V157" s="74" t="s">
        <v>78</v>
      </c>
      <c r="W157" s="73">
        <f t="shared" ca="1" si="388"/>
        <v>1</v>
      </c>
      <c r="X157" s="64"/>
      <c r="Y157" s="74" t="s">
        <v>78</v>
      </c>
      <c r="Z157" s="73">
        <f t="shared" ca="1" si="389"/>
        <v>1</v>
      </c>
      <c r="AA157" s="64"/>
      <c r="AB157" s="74" t="s">
        <v>78</v>
      </c>
      <c r="AC157" s="73">
        <f t="shared" ca="1" si="390"/>
        <v>1</v>
      </c>
      <c r="AD157" s="64"/>
      <c r="AE157" s="74" t="s">
        <v>76</v>
      </c>
      <c r="AF157" s="73">
        <f t="shared" ca="1" si="391"/>
        <v>1</v>
      </c>
      <c r="AG157" s="64"/>
      <c r="AH157" s="74" t="s">
        <v>78</v>
      </c>
      <c r="AI157" s="73">
        <f t="shared" ca="1" si="392"/>
        <v>1</v>
      </c>
      <c r="AJ157" s="64"/>
      <c r="AK157" s="792" t="s">
        <v>78</v>
      </c>
      <c r="AL157" s="73">
        <f t="shared" ca="1" si="393"/>
        <v>1</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1</v>
      </c>
      <c r="G158" s="445">
        <f ca="1">VLOOKUP(H158,Equipos!$Q$1:$R$25,2,0)</f>
        <v>19</v>
      </c>
      <c r="H158" s="447" t="str">
        <f>Idiomas!$D$137</f>
        <v>CLASIFICADOS PARA DIECISEISAVOS</v>
      </c>
      <c r="I158" s="50"/>
      <c r="J158" s="846"/>
      <c r="K158" s="56" t="str">
        <f>Idiomas!$D$198&amp;"-"&amp;ROWS($L$130:L158)</f>
        <v>Dieciseisavofinalista-29</v>
      </c>
      <c r="L158" s="53"/>
      <c r="M158" s="55" t="str">
        <f ca="1">WORLDCUP!AF113</f>
        <v>Argelia</v>
      </c>
      <c r="N158" s="25"/>
      <c r="O158" s="25"/>
      <c r="P158" s="25"/>
      <c r="Q158" s="25"/>
      <c r="R158" s="110"/>
      <c r="S158" s="74" t="s">
        <v>1262</v>
      </c>
      <c r="T158" s="73">
        <f t="shared" ca="1" si="387"/>
        <v>0</v>
      </c>
      <c r="U158" s="64"/>
      <c r="V158" s="74" t="s">
        <v>1558</v>
      </c>
      <c r="W158" s="73">
        <f t="shared" ca="1" si="388"/>
        <v>1</v>
      </c>
      <c r="X158" s="64"/>
      <c r="Y158" s="74" t="s">
        <v>80</v>
      </c>
      <c r="Z158" s="73">
        <f t="shared" ca="1" si="389"/>
        <v>1</v>
      </c>
      <c r="AA158" s="64"/>
      <c r="AB158" s="74" t="s">
        <v>1262</v>
      </c>
      <c r="AC158" s="73">
        <f t="shared" ca="1" si="390"/>
        <v>0</v>
      </c>
      <c r="AD158" s="64"/>
      <c r="AE158" s="74" t="s">
        <v>1558</v>
      </c>
      <c r="AF158" s="73">
        <f t="shared" ca="1" si="391"/>
        <v>1</v>
      </c>
      <c r="AG158" s="64"/>
      <c r="AH158" s="74" t="s">
        <v>1550</v>
      </c>
      <c r="AI158" s="73">
        <f t="shared" ca="1" si="392"/>
        <v>1</v>
      </c>
      <c r="AJ158" s="64"/>
      <c r="AK158" s="792" t="s">
        <v>1558</v>
      </c>
      <c r="AL158" s="73">
        <f t="shared" ca="1" si="393"/>
        <v>1</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1</v>
      </c>
      <c r="G159" s="445">
        <f ca="1">VLOOKUP(H159,Equipos!$Q$1:$R$25,2,0)</f>
        <v>19</v>
      </c>
      <c r="H159" s="447" t="str">
        <f>Idiomas!$D$137</f>
        <v>CLASIFICADOS PARA DIECISEISAVOS</v>
      </c>
      <c r="I159" s="50"/>
      <c r="J159" s="846"/>
      <c r="K159" s="56" t="str">
        <f>Idiomas!$D$198&amp;"-"&amp;ROWS($L$130:L159)</f>
        <v>Dieciseisavofinalista-30</v>
      </c>
      <c r="L159" s="53"/>
      <c r="M159" s="55" t="str">
        <f ca="1">WORLDCUP!AF114</f>
        <v>Egipto</v>
      </c>
      <c r="N159" s="25"/>
      <c r="O159" s="25"/>
      <c r="P159" s="25"/>
      <c r="Q159" s="25"/>
      <c r="R159" s="110"/>
      <c r="S159" s="74" t="s">
        <v>1550</v>
      </c>
      <c r="T159" s="73">
        <f t="shared" ca="1" si="387"/>
        <v>1</v>
      </c>
      <c r="U159" s="64"/>
      <c r="V159" s="74" t="s">
        <v>1262</v>
      </c>
      <c r="W159" s="73">
        <f t="shared" ca="1" si="388"/>
        <v>0</v>
      </c>
      <c r="X159" s="64"/>
      <c r="Y159" s="74" t="s">
        <v>1550</v>
      </c>
      <c r="Z159" s="73">
        <f t="shared" ca="1" si="389"/>
        <v>1</v>
      </c>
      <c r="AA159" s="64"/>
      <c r="AB159" s="74" t="s">
        <v>1550</v>
      </c>
      <c r="AC159" s="73">
        <f t="shared" ca="1" si="390"/>
        <v>1</v>
      </c>
      <c r="AD159" s="64"/>
      <c r="AE159" s="74" t="s">
        <v>1550</v>
      </c>
      <c r="AF159" s="73">
        <f t="shared" ca="1" si="391"/>
        <v>1</v>
      </c>
      <c r="AG159" s="64"/>
      <c r="AH159" s="74" t="s">
        <v>1262</v>
      </c>
      <c r="AI159" s="73">
        <f t="shared" ca="1" si="392"/>
        <v>0</v>
      </c>
      <c r="AJ159" s="64"/>
      <c r="AK159" s="792" t="s">
        <v>1550</v>
      </c>
      <c r="AL159" s="73">
        <f t="shared" ca="1" si="393"/>
        <v>1</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1</v>
      </c>
      <c r="G160" s="445">
        <f ca="1">VLOOKUP(H160,Equipos!$Q$1:$R$25,2,0)</f>
        <v>19</v>
      </c>
      <c r="H160" s="447" t="str">
        <f>Idiomas!$D$137</f>
        <v>CLASIFICADOS PARA DIECISEISAVOS</v>
      </c>
      <c r="I160" s="50"/>
      <c r="J160" s="846"/>
      <c r="K160" s="56" t="str">
        <f>Idiomas!$D$198&amp;"-"&amp;ROWS($L$130:L160)</f>
        <v>Dieciseisavofinalista-31</v>
      </c>
      <c r="L160" s="53"/>
      <c r="M160" s="55" t="str">
        <f ca="1">WORLDCUP!AF115</f>
        <v>Cabo Verde</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92" t="s">
        <v>1318</v>
      </c>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1</v>
      </c>
      <c r="G161" s="445">
        <f ca="1">VLOOKUP(H161,Equipos!$Q$1:$R$25,2,0)</f>
        <v>19</v>
      </c>
      <c r="H161" s="447" t="str">
        <f>Idiomas!$D$137</f>
        <v>CLASIFICADOS PARA DIECISEISAVOS</v>
      </c>
      <c r="I161" s="50"/>
      <c r="J161" s="846"/>
      <c r="K161" s="115" t="str">
        <f>Idiomas!$D$198&amp;"-"&amp;ROWS($L$130:L161)</f>
        <v>Dieciseisavofinalista-32</v>
      </c>
      <c r="L161" s="115"/>
      <c r="M161" s="116" t="str">
        <f ca="1">WORLDCUP!AF116</f>
        <v>Ghana</v>
      </c>
      <c r="N161" s="25"/>
      <c r="O161" s="25"/>
      <c r="P161" s="25"/>
      <c r="Q161" s="25"/>
      <c r="R161" s="110"/>
      <c r="S161" s="80" t="s">
        <v>1551</v>
      </c>
      <c r="T161" s="81">
        <f t="shared" ca="1" si="387"/>
        <v>1</v>
      </c>
      <c r="U161" s="64"/>
      <c r="V161" s="80" t="s">
        <v>1261</v>
      </c>
      <c r="W161" s="81">
        <f t="shared" ca="1" si="388"/>
        <v>1</v>
      </c>
      <c r="X161" s="64"/>
      <c r="Y161" s="80" t="s">
        <v>1551</v>
      </c>
      <c r="Z161" s="81">
        <f t="shared" ca="1" si="389"/>
        <v>1</v>
      </c>
      <c r="AA161" s="64"/>
      <c r="AB161" s="80" t="s">
        <v>1634</v>
      </c>
      <c r="AC161" s="81">
        <f t="shared" ca="1" si="390"/>
        <v>1</v>
      </c>
      <c r="AD161" s="64"/>
      <c r="AE161" s="80" t="s">
        <v>78</v>
      </c>
      <c r="AF161" s="81">
        <f t="shared" ca="1" si="391"/>
        <v>1</v>
      </c>
      <c r="AG161" s="64"/>
      <c r="AH161" s="80" t="s">
        <v>1634</v>
      </c>
      <c r="AI161" s="81">
        <f t="shared" ca="1" si="392"/>
        <v>1</v>
      </c>
      <c r="AJ161" s="64"/>
      <c r="AK161" s="792" t="s">
        <v>1551</v>
      </c>
      <c r="AL161" s="81">
        <f t="shared" ca="1" si="393"/>
        <v>1</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32</v>
      </c>
      <c r="N162" s="25"/>
      <c r="O162" s="25"/>
      <c r="P162" s="25"/>
      <c r="Q162" s="25"/>
      <c r="R162" s="49"/>
      <c r="S162" s="84"/>
      <c r="T162" s="71">
        <f ca="1">SUM(T130:T161)</f>
        <v>27</v>
      </c>
      <c r="U162" s="65"/>
      <c r="V162" s="84"/>
      <c r="W162" s="71">
        <f t="shared" ref="W162" ca="1" si="413">SUM(W130:W161)</f>
        <v>25</v>
      </c>
      <c r="X162" s="65"/>
      <c r="Y162" s="84"/>
      <c r="Z162" s="71">
        <f t="shared" ref="Z162" ca="1" si="414">SUM(Z130:Z161)</f>
        <v>26</v>
      </c>
      <c r="AA162" s="65"/>
      <c r="AB162" s="84"/>
      <c r="AC162" s="71">
        <f t="shared" ref="AC162" ca="1" si="415">SUM(AC130:AC161)</f>
        <v>26</v>
      </c>
      <c r="AD162" s="65"/>
      <c r="AE162" s="84"/>
      <c r="AF162" s="71">
        <f t="shared" ref="AF162" ca="1" si="416">SUM(AF130:AF161)</f>
        <v>27</v>
      </c>
      <c r="AG162" s="65"/>
      <c r="AH162" s="84"/>
      <c r="AI162" s="71">
        <f t="shared" ref="AI162" ca="1" si="417">SUM(AI130:AI161)</f>
        <v>25</v>
      </c>
      <c r="AJ162" s="65"/>
      <c r="AK162" s="84"/>
      <c r="AL162" s="71">
        <f t="shared" ref="AL162" ca="1" si="418">SUM(AL130:AL161)</f>
        <v>27</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8</v>
      </c>
      <c r="G164" s="407">
        <f ca="1">VLOOKUP(H164,Equipos!$Q$1:$R$25,2,0)</f>
        <v>20</v>
      </c>
      <c r="H164" s="446" t="str">
        <f>Idiomas!$D$260</f>
        <v>Dieciseisavos de final</v>
      </c>
      <c r="I164" s="43">
        <v>1</v>
      </c>
      <c r="J164" s="846"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1979</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2</v>
      </c>
      <c r="U164" s="110"/>
      <c r="V164" s="76" t="s">
        <v>2034</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4</v>
      </c>
      <c r="X164" s="110"/>
      <c r="Y164" s="76" t="s">
        <v>2071</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2</v>
      </c>
      <c r="AA164" s="110"/>
      <c r="AB164" s="76" t="s">
        <v>1979</v>
      </c>
      <c r="AC164" s="77">
        <f ca="1">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2</v>
      </c>
      <c r="AD164" s="110"/>
      <c r="AE164" s="76" t="s">
        <v>1979</v>
      </c>
      <c r="AF164" s="77">
        <f ca="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2</v>
      </c>
      <c r="AG164" s="110"/>
      <c r="AH164" s="76" t="s">
        <v>1979</v>
      </c>
      <c r="AI164" s="77">
        <f t="shared" ref="AI164" ca="1" si="439">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2</v>
      </c>
      <c r="AJ164" s="110"/>
      <c r="AK164" s="76" t="s">
        <v>1979</v>
      </c>
      <c r="AL164" s="77">
        <f t="shared" ref="AL164" ca="1" si="440">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2</v>
      </c>
      <c r="AM164" s="110"/>
      <c r="AN164" s="76" t="str">
        <f>Idiomas!$D$367</f>
        <v>Pegar Valores Dieciseisavos</v>
      </c>
      <c r="AO164" s="77">
        <f t="shared" ref="AO164" ca="1" si="441">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2">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3">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4">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5">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6">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7">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48">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49">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0">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1">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2">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3">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4">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5">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6">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7">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58">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Japón-Brasil</v>
      </c>
      <c r="D165" s="25" t="str">
        <f>IF(WORLDCUP!AC102&gt;WORLDCUP!AD102,2,IF(WORLDCUP!AC102&lt;WORLDCUP!AD102,1,IF(AND(WORLDCUP!AC102=WORLDCUP!AD102,WORLDCUP!AC102&lt;&gt;"",WORLDCUP!AD102&lt;&gt;""),0,"PD")))</f>
        <v>PD</v>
      </c>
      <c r="E165" s="25" t="str">
        <f>IF(OR(WORLDCUP!AC102="",WORLDCUP!AD102=""),"-",A165&amp;"-"&amp;B165)</f>
        <v>-</v>
      </c>
      <c r="F165" s="407">
        <f t="shared" ref="F165:F179" si="459">SUM($D$16:$D$18)*I165</f>
        <v>8</v>
      </c>
      <c r="G165" s="407">
        <f ca="1">VLOOKUP(H165,Equipos!$Q$1:$R$25,2,0)</f>
        <v>20</v>
      </c>
      <c r="H165" s="446" t="str">
        <f>Idiomas!$D$260</f>
        <v>Dieciseisavos de final</v>
      </c>
      <c r="I165" s="43">
        <v>1</v>
      </c>
      <c r="J165" s="846"/>
      <c r="K165" s="56" t="str">
        <f ca="1">CONCATENATE(WORLDCUP!AA102,"-",WORLDCUP!AF102)</f>
        <v>Brasil-Japón</v>
      </c>
      <c r="L165" s="53" t="str">
        <f>IF(OR(WORLDCUP!AC102="",WORLDCUP!AD102=""),"PD",IF(WORLDCUP!AC102&gt;WORLDCUP!AD102,1,IF(WORLDCUP!AC102&lt;WORLDCUP!AD102,2,0)))</f>
        <v>PD</v>
      </c>
      <c r="M165" s="55" t="str">
        <f t="shared" ref="M165:M179" si="460">IF(L165="PD","-",N165&amp;"-"&amp;O165)</f>
        <v>-</v>
      </c>
      <c r="N165" s="25">
        <f>WORLDCUP!AC102</f>
        <v>0</v>
      </c>
      <c r="O165" s="25">
        <f>WORLDCUP!AD102</f>
        <v>0</v>
      </c>
      <c r="P165" s="25">
        <f t="shared" ref="P165:P179" si="461">N165-O165</f>
        <v>0</v>
      </c>
      <c r="Q165" s="25">
        <f t="shared" ref="Q165:Q179" si="462">A165-B165</f>
        <v>0</v>
      </c>
      <c r="R165" s="110"/>
      <c r="S165" s="76" t="s">
        <v>1980</v>
      </c>
      <c r="T165" s="77">
        <f t="shared" ref="T165:T179" ca="1" si="46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2035</v>
      </c>
      <c r="W165" s="77">
        <f t="shared" ca="1" si="437"/>
        <v>0</v>
      </c>
      <c r="X165" s="110"/>
      <c r="Y165" s="74" t="s">
        <v>1980</v>
      </c>
      <c r="Z165" s="77">
        <f t="shared" ca="1" si="437"/>
        <v>0</v>
      </c>
      <c r="AA165" s="110"/>
      <c r="AB165" s="80" t="s">
        <v>2091</v>
      </c>
      <c r="AC165" s="77">
        <f ca="1">IFERROR(IF(COUNTIF($K$164:$K$179,LEFT(AB165,FIND("·",AB165)-1))&gt;0,IF(INDEX($L$164:$L$179,MATCH(LEFT(AB165,FIND("·",AB165)-1),$K$164:$K$179,0))=IFERROR(VALUE(MID(AB165,FIND("·",AB165)+1,1)),0),($D$16+(INDEX($M$164:$M$179,MATCH(LEFT(AB165,FIND("·",AB165)-1),$K$164:$K$179,0))=MID(AB165,FIND("|",AB165)+1,10))*$D$18+MAX(0,IF($D$50=1,$D$17*(1-(ABS(INDEX($P$164:$P$179,MATCH(LEFT(AB165,FIND("·",AB165)-1),$K$164:$K$179,0))-(VALUE(MID(AB165,FIND("|",AB165)+1,FIND("-",AB165,FIND("|",AB165))-FIND("|",AB165)-1))-VALUE(MID(AB165,FIND("-",AB165,FIND("|",AB165))+1,10)))))*$D$50),$D$17*(1-(IF(INDEX($L$164:$L$179,MATCH(LEFT(AB165,FIND("·",AB165)-1),$K$164:$K$179,0))=0,ABS(INDEX($N$164:$N$179,MATCH(LEFT(AB165,FIND("·",AB165)-1),$K$164:$K$179,0))-VALUE(MID(AB165,FIND("|",AB165)+1,FIND("-",AB165,FIND("|",AB165))-FIND("|",AB165)-1))),ABS(INDEX($P$164:$P$179,MATCH(LEFT(AB165,FIND("·",AB165)-1),$K$164:$K$179,0))-(VALUE(MID(AB165,FIND("|",AB165)+1,FIND("-",AB165,FIND("|",AB165))-FIND("|",AB165)-1))-VALUE(MID(AB165,FIND("-",AB165,FIND("|",AB165))+1,10)))))*$D$50)))))*INDEX($I$164:$I$179,MATCH(LEFT(AB165,FIND("·",AB165)-1),$K$164:$K$179,0)),0),0),0)+IFERROR(IF(COUNTIF($C$164:$C$179,LEFT(AB165,FIND("·",AB165)-1))&gt;0,IF(INDEX($D$164:$D$179,MATCH(LEFT(AB165,FIND("·",AB165)-1),$C$164:$C$179,0))=IFERROR(VALUE(MID(AB165,FIND("·",AB165)+1,1)),0),($D$16+(INDEX($E$164:$E$179,MATCH(LEFT(AB165,FIND("·",AB165)-1),$C$164:$C$179,0))=MID(AB165,FIND("|",AB165)+1,10))*$D$18+MAX(0,IF($D$50=1,$D$17*(1-(ABS(INDEX($Q$164:$Q$179,MATCH(LEFT(AB165,FIND("·",AB165)-1),$C$164:$C$179,0))-(VALUE(MID(AB165,FIND("|",AB165)+1,FIND("-",AB165,FIND("|",AB165))-FIND("|",AB165)-1))-VALUE(MID(AB165,FIND("-",AB165,FIND("|",AB165))+1,10)))))*$D$50),$D$17*(1-(IF(INDEX($D$164:$D$179,MATCH(LEFT(AB165,FIND("·",AB165)-1),$C$164:$C$179,0))=0,ABS(INDEX($A$164:$A$179,MATCH(LEFT(AB165,FIND("·",AB165)-1),$C$164:$C$179,0))-VALUE(MID(AB165,FIND("|",AB165)+1,FIND("-",AB165,FIND("|",AB165))-FIND("|",AB165)-1))),ABS(INDEX($Q$164:$Q$179,MATCH(LEFT(AB165,FIND("·",AB165)-1),$C$164:$C$179,0))-(VALUE(MID(AB165,FIND("|",AB165)+1,FIND("-",AB165,FIND("|",AB165))-FIND("|",AB165)-1))-VALUE(MID(AB165,FIND("-",AB165,FIND("|",AB165))+1,10)))))*$D$50)))))*INDEX($I$164:$I$179,MATCH(LEFT(AB165,FIND("·",AB165)-1),$C$164:$C$179,0)),0),0),0)</f>
        <v>0</v>
      </c>
      <c r="AD165" s="110"/>
      <c r="AE165" s="74" t="s">
        <v>1980</v>
      </c>
      <c r="AF165" s="77">
        <f ca="1">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110"/>
      <c r="AH165" s="74" t="s">
        <v>1980</v>
      </c>
      <c r="AI165" s="77">
        <f t="shared" ca="1" si="437"/>
        <v>0</v>
      </c>
      <c r="AJ165" s="110"/>
      <c r="AK165" s="74" t="s">
        <v>1980</v>
      </c>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7"/>
        <v>0</v>
      </c>
      <c r="CL165" s="110"/>
      <c r="CM165" s="74"/>
      <c r="CN165" s="77">
        <f t="shared" ca="1" si="457"/>
        <v>0</v>
      </c>
      <c r="CO165" s="110"/>
      <c r="CP165" s="110"/>
    </row>
    <row r="166" spans="1:94">
      <c r="A166" s="25">
        <f>WORLDCUP!AD103</f>
        <v>0</v>
      </c>
      <c r="B166" s="25">
        <f>WORLDCUP!AC103</f>
        <v>0</v>
      </c>
      <c r="C166" s="25" t="str">
        <f ca="1">CONCATENATE(WORLDCUP!AF103,"-",WORLDCUP!AA103)</f>
        <v>Paraguay-Alemania</v>
      </c>
      <c r="D166" s="25" t="str">
        <f>IF(WORLDCUP!AC103&gt;WORLDCUP!AD103,2,IF(WORLDCUP!AC103&lt;WORLDCUP!AD103,1,IF(AND(WORLDCUP!AC103=WORLDCUP!AD103,WORLDCUP!AC103&lt;&gt;"",WORLDCUP!AD103&lt;&gt;""),0,"PD")))</f>
        <v>PD</v>
      </c>
      <c r="E166" s="25" t="str">
        <f>IF(OR(WORLDCUP!AC103="",WORLDCUP!AD103=""),"-",A166&amp;"-"&amp;B166)</f>
        <v>-</v>
      </c>
      <c r="F166" s="407">
        <f t="shared" si="459"/>
        <v>8</v>
      </c>
      <c r="G166" s="407">
        <f ca="1">VLOOKUP(H166,Equipos!$Q$1:$R$25,2,0)</f>
        <v>20</v>
      </c>
      <c r="H166" s="446" t="str">
        <f>Idiomas!$D$260</f>
        <v>Dieciseisavos de final</v>
      </c>
      <c r="I166" s="43">
        <v>1</v>
      </c>
      <c r="J166" s="846"/>
      <c r="K166" s="56" t="str">
        <f ca="1">CONCATENATE(WORLDCUP!AA103,"-",WORLDCUP!AF103)</f>
        <v>Alemania-Paraguay</v>
      </c>
      <c r="L166" s="53" t="str">
        <f>IF(OR(WORLDCUP!AC103="",WORLDCUP!AD103=""),"PD",IF(WORLDCUP!AC103&gt;WORLDCUP!AD103,1,IF(WORLDCUP!AC103&lt;WORLDCUP!AD103,2,0)))</f>
        <v>PD</v>
      </c>
      <c r="M166" s="55" t="str">
        <f t="shared" si="460"/>
        <v>-</v>
      </c>
      <c r="N166" s="25">
        <f>WORLDCUP!AC103</f>
        <v>0</v>
      </c>
      <c r="O166" s="25">
        <f>WORLDCUP!AD103</f>
        <v>0</v>
      </c>
      <c r="P166" s="25">
        <f t="shared" si="461"/>
        <v>0</v>
      </c>
      <c r="Q166" s="25">
        <f t="shared" si="462"/>
        <v>0</v>
      </c>
      <c r="R166" s="110"/>
      <c r="S166" s="74" t="s">
        <v>2011</v>
      </c>
      <c r="T166" s="77">
        <f t="shared" ca="1" si="463"/>
        <v>0</v>
      </c>
      <c r="U166" s="110"/>
      <c r="V166" s="74" t="s">
        <v>2036</v>
      </c>
      <c r="W166" s="77">
        <f t="shared" ca="1" si="437"/>
        <v>0</v>
      </c>
      <c r="X166" s="110"/>
      <c r="Y166" s="74" t="s">
        <v>1981</v>
      </c>
      <c r="Z166" s="77">
        <f t="shared" ca="1" si="437"/>
        <v>0</v>
      </c>
      <c r="AA166" s="110"/>
      <c r="AB166" s="80" t="s">
        <v>1981</v>
      </c>
      <c r="AC166" s="77">
        <f ca="1">IFERROR(IF(COUNTIF($K$164:$K$179,LEFT(AB166,FIND("·",AB166)-1))&gt;0,IF(INDEX($L$164:$L$179,MATCH(LEFT(AB166,FIND("·",AB166)-1),$K$164:$K$179,0))=IFERROR(VALUE(MID(AB166,FIND("·",AB166)+1,1)),0),($D$16+(INDEX($M$164:$M$179,MATCH(LEFT(AB166,FIND("·",AB166)-1),$K$164:$K$179,0))=MID(AB166,FIND("|",AB166)+1,10))*$D$18+MAX(0,IF($D$50=1,$D$17*(1-(ABS(INDEX($P$164:$P$179,MATCH(LEFT(AB166,FIND("·",AB166)-1),$K$164:$K$179,0))-(VALUE(MID(AB166,FIND("|",AB166)+1,FIND("-",AB166,FIND("|",AB166))-FIND("|",AB166)-1))-VALUE(MID(AB166,FIND("-",AB166,FIND("|",AB166))+1,10)))))*$D$50),$D$17*(1-(IF(INDEX($L$164:$L$179,MATCH(LEFT(AB166,FIND("·",AB166)-1),$K$164:$K$179,0))=0,ABS(INDEX($N$164:$N$179,MATCH(LEFT(AB166,FIND("·",AB166)-1),$K$164:$K$179,0))-VALUE(MID(AB166,FIND("|",AB166)+1,FIND("-",AB166,FIND("|",AB166))-FIND("|",AB166)-1))),ABS(INDEX($P$164:$P$179,MATCH(LEFT(AB166,FIND("·",AB166)-1),$K$164:$K$179,0))-(VALUE(MID(AB166,FIND("|",AB166)+1,FIND("-",AB166,FIND("|",AB166))-FIND("|",AB166)-1))-VALUE(MID(AB166,FIND("-",AB166,FIND("|",AB166))+1,10)))))*$D$50)))))*INDEX($I$164:$I$179,MATCH(LEFT(AB166,FIND("·",AB166)-1),$K$164:$K$179,0)),0),0),0)+IFERROR(IF(COUNTIF($C$164:$C$179,LEFT(AB166,FIND("·",AB166)-1))&gt;0,IF(INDEX($D$164:$D$179,MATCH(LEFT(AB166,FIND("·",AB166)-1),$C$164:$C$179,0))=IFERROR(VALUE(MID(AB166,FIND("·",AB166)+1,1)),0),($D$16+(INDEX($E$164:$E$179,MATCH(LEFT(AB166,FIND("·",AB166)-1),$C$164:$C$179,0))=MID(AB166,FIND("|",AB166)+1,10))*$D$18+MAX(0,IF($D$50=1,$D$17*(1-(ABS(INDEX($Q$164:$Q$179,MATCH(LEFT(AB166,FIND("·",AB166)-1),$C$164:$C$179,0))-(VALUE(MID(AB166,FIND("|",AB166)+1,FIND("-",AB166,FIND("|",AB166))-FIND("|",AB166)-1))-VALUE(MID(AB166,FIND("-",AB166,FIND("|",AB166))+1,10)))))*$D$50),$D$17*(1-(IF(INDEX($D$164:$D$179,MATCH(LEFT(AB166,FIND("·",AB166)-1),$C$164:$C$179,0))=0,ABS(INDEX($A$164:$A$179,MATCH(LEFT(AB166,FIND("·",AB166)-1),$C$164:$C$179,0))-VALUE(MID(AB166,FIND("|",AB166)+1,FIND("-",AB166,FIND("|",AB166))-FIND("|",AB166)-1))),ABS(INDEX($Q$164:$Q$179,MATCH(LEFT(AB166,FIND("·",AB166)-1),$C$164:$C$179,0))-(VALUE(MID(AB166,FIND("|",AB166)+1,FIND("-",AB166,FIND("|",AB166))-FIND("|",AB166)-1))-VALUE(MID(AB166,FIND("-",AB166,FIND("|",AB166))+1,10)))))*$D$50)))))*INDEX($I$164:$I$179,MATCH(LEFT(AB166,FIND("·",AB166)-1),$C$164:$C$179,0)),0),0),0)</f>
        <v>0</v>
      </c>
      <c r="AD166" s="110"/>
      <c r="AE166" s="74" t="s">
        <v>1981</v>
      </c>
      <c r="AF166" s="77">
        <f ca="1">IFERROR(IF(COUNTIF($K$164:$K$179,LEFT(AE166,FIND("·",AE166)-1))&gt;0,IF(INDEX($L$164:$L$179,MATCH(LEFT(AE166,FIND("·",AE166)-1),$K$164:$K$179,0))=IFERROR(VALUE(MID(AE166,FIND("·",AE166)+1,1)),0),($D$16+(INDEX($M$164:$M$179,MATCH(LEFT(AE166,FIND("·",AE166)-1),$K$164:$K$179,0))=MID(AE166,FIND("|",AE166)+1,10))*$D$18+MAX(0,IF($D$50=1,$D$17*(1-(ABS(INDEX($P$164:$P$179,MATCH(LEFT(AE166,FIND("·",AE166)-1),$K$164:$K$179,0))-(VALUE(MID(AE166,FIND("|",AE166)+1,FIND("-",AE166,FIND("|",AE166))-FIND("|",AE166)-1))-VALUE(MID(AE166,FIND("-",AE166,FIND("|",AE166))+1,10)))))*$D$50),$D$17*(1-(IF(INDEX($L$164:$L$179,MATCH(LEFT(AE166,FIND("·",AE166)-1),$K$164:$K$179,0))=0,ABS(INDEX($N$164:$N$179,MATCH(LEFT(AE166,FIND("·",AE166)-1),$K$164:$K$179,0))-VALUE(MID(AE166,FIND("|",AE166)+1,FIND("-",AE166,FIND("|",AE166))-FIND("|",AE166)-1))),ABS(INDEX($P$164:$P$179,MATCH(LEFT(AE166,FIND("·",AE166)-1),$K$164:$K$179,0))-(VALUE(MID(AE166,FIND("|",AE166)+1,FIND("-",AE166,FIND("|",AE166))-FIND("|",AE166)-1))-VALUE(MID(AE166,FIND("-",AE166,FIND("|",AE166))+1,10)))))*$D$50)))))*INDEX($I$164:$I$179,MATCH(LEFT(AE166,FIND("·",AE166)-1),$K$164:$K$179,0)),0),0),0)+IFERROR(IF(COUNTIF($C$164:$C$179,LEFT(AE166,FIND("·",AE166)-1))&gt;0,IF(INDEX($D$164:$D$179,MATCH(LEFT(AE166,FIND("·",AE166)-1),$C$164:$C$179,0))=IFERROR(VALUE(MID(AE166,FIND("·",AE166)+1,1)),0),($D$16+(INDEX($E$164:$E$179,MATCH(LEFT(AE166,FIND("·",AE166)-1),$C$164:$C$179,0))=MID(AE166,FIND("|",AE166)+1,10))*$D$18+MAX(0,IF($D$50=1,$D$17*(1-(ABS(INDEX($Q$164:$Q$179,MATCH(LEFT(AE166,FIND("·",AE166)-1),$C$164:$C$179,0))-(VALUE(MID(AE166,FIND("|",AE166)+1,FIND("-",AE166,FIND("|",AE166))-FIND("|",AE166)-1))-VALUE(MID(AE166,FIND("-",AE166,FIND("|",AE166))+1,10)))))*$D$50),$D$17*(1-(IF(INDEX($D$164:$D$179,MATCH(LEFT(AE166,FIND("·",AE166)-1),$C$164:$C$179,0))=0,ABS(INDEX($A$164:$A$179,MATCH(LEFT(AE166,FIND("·",AE166)-1),$C$164:$C$179,0))-VALUE(MID(AE166,FIND("|",AE166)+1,FIND("-",AE166,FIND("|",AE166))-FIND("|",AE166)-1))),ABS(INDEX($Q$164:$Q$179,MATCH(LEFT(AE166,FIND("·",AE166)-1),$C$164:$C$179,0))-(VALUE(MID(AE166,FIND("|",AE166)+1,FIND("-",AE166,FIND("|",AE166))-FIND("|",AE166)-1))-VALUE(MID(AE166,FIND("-",AE166,FIND("|",AE166))+1,10)))))*$D$50)))))*INDEX($I$164:$I$179,MATCH(LEFT(AE166,FIND("·",AE166)-1),$C$164:$C$179,0)),0),0),0)</f>
        <v>0</v>
      </c>
      <c r="AG166" s="110"/>
      <c r="AH166" s="74" t="s">
        <v>1981</v>
      </c>
      <c r="AI166" s="77">
        <f t="shared" ca="1" si="437"/>
        <v>0</v>
      </c>
      <c r="AJ166" s="110"/>
      <c r="AK166" s="74" t="s">
        <v>1981</v>
      </c>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7"/>
        <v>0</v>
      </c>
      <c r="CL166" s="110"/>
      <c r="CM166" s="74"/>
      <c r="CN166" s="77">
        <f t="shared" ca="1" si="457"/>
        <v>0</v>
      </c>
      <c r="CO166" s="110"/>
      <c r="CP166" s="110"/>
    </row>
    <row r="167" spans="1:94">
      <c r="A167" s="25">
        <f>WORLDCUP!AD104</f>
        <v>0</v>
      </c>
      <c r="B167" s="25">
        <f>WORLDCUP!AC104</f>
        <v>0</v>
      </c>
      <c r="C167" s="25" t="str">
        <f ca="1">CONCATENATE(WORLDCUP!AF104,"-",WORLDCUP!AA104)</f>
        <v>Marruecos-Países Bajos</v>
      </c>
      <c r="D167" s="25" t="str">
        <f>IF(WORLDCUP!AC104&gt;WORLDCUP!AD104,2,IF(WORLDCUP!AC104&lt;WORLDCUP!AD104,1,IF(AND(WORLDCUP!AC104=WORLDCUP!AD104,WORLDCUP!AC104&lt;&gt;"",WORLDCUP!AD104&lt;&gt;""),0,"PD")))</f>
        <v>PD</v>
      </c>
      <c r="E167" s="25" t="str">
        <f>IF(OR(WORLDCUP!AC104="",WORLDCUP!AD104=""),"-",A167&amp;"-"&amp;B167)</f>
        <v>-</v>
      </c>
      <c r="F167" s="407">
        <f t="shared" si="459"/>
        <v>8</v>
      </c>
      <c r="G167" s="407">
        <f ca="1">VLOOKUP(H167,Equipos!$Q$1:$R$25,2,0)</f>
        <v>20</v>
      </c>
      <c r="H167" s="446" t="str">
        <f>Idiomas!$D$260</f>
        <v>Dieciseisavos de final</v>
      </c>
      <c r="I167" s="43">
        <v>1</v>
      </c>
      <c r="J167" s="846"/>
      <c r="K167" s="56" t="str">
        <f ca="1">CONCATENATE(WORLDCUP!AA104,"-",WORLDCUP!AF104)</f>
        <v>Países Bajos-Marruecos</v>
      </c>
      <c r="L167" s="53" t="str">
        <f>IF(OR(WORLDCUP!AC104="",WORLDCUP!AD104=""),"PD",IF(WORLDCUP!AC104&gt;WORLDCUP!AD104,1,IF(WORLDCUP!AC104&lt;WORLDCUP!AD104,2,0)))</f>
        <v>PD</v>
      </c>
      <c r="M167" s="55" t="str">
        <f t="shared" si="460"/>
        <v>-</v>
      </c>
      <c r="N167" s="25">
        <f>WORLDCUP!AC104</f>
        <v>0</v>
      </c>
      <c r="O167" s="25">
        <f>WORLDCUP!AD104</f>
        <v>0</v>
      </c>
      <c r="P167" s="25">
        <f t="shared" si="461"/>
        <v>0</v>
      </c>
      <c r="Q167" s="25">
        <f t="shared" si="462"/>
        <v>0</v>
      </c>
      <c r="R167" s="110"/>
      <c r="S167" s="74" t="s">
        <v>2012</v>
      </c>
      <c r="T167" s="77">
        <f t="shared" ca="1" si="463"/>
        <v>0</v>
      </c>
      <c r="U167" s="110"/>
      <c r="V167" s="74" t="s">
        <v>1982</v>
      </c>
      <c r="W167" s="77">
        <f t="shared" ca="1" si="437"/>
        <v>0</v>
      </c>
      <c r="X167" s="110"/>
      <c r="Y167" s="74" t="s">
        <v>2072</v>
      </c>
      <c r="Z167" s="77">
        <f t="shared" ca="1" si="437"/>
        <v>0</v>
      </c>
      <c r="AA167" s="110"/>
      <c r="AB167" s="80" t="s">
        <v>2072</v>
      </c>
      <c r="AC167" s="77">
        <f ca="1">IFERROR(IF(COUNTIF($K$164:$K$179,LEFT(AB167,FIND("·",AB167)-1))&gt;0,IF(INDEX($L$164:$L$179,MATCH(LEFT(AB167,FIND("·",AB167)-1),$K$164:$K$179,0))=IFERROR(VALUE(MID(AB167,FIND("·",AB167)+1,1)),0),($D$16+(INDEX($M$164:$M$179,MATCH(LEFT(AB167,FIND("·",AB167)-1),$K$164:$K$179,0))=MID(AB167,FIND("|",AB167)+1,10))*$D$18+MAX(0,IF($D$50=1,$D$17*(1-(ABS(INDEX($P$164:$P$179,MATCH(LEFT(AB167,FIND("·",AB167)-1),$K$164:$K$179,0))-(VALUE(MID(AB167,FIND("|",AB167)+1,FIND("-",AB167,FIND("|",AB167))-FIND("|",AB167)-1))-VALUE(MID(AB167,FIND("-",AB167,FIND("|",AB167))+1,10)))))*$D$50),$D$17*(1-(IF(INDEX($L$164:$L$179,MATCH(LEFT(AB167,FIND("·",AB167)-1),$K$164:$K$179,0))=0,ABS(INDEX($N$164:$N$179,MATCH(LEFT(AB167,FIND("·",AB167)-1),$K$164:$K$179,0))-VALUE(MID(AB167,FIND("|",AB167)+1,FIND("-",AB167,FIND("|",AB167))-FIND("|",AB167)-1))),ABS(INDEX($P$164:$P$179,MATCH(LEFT(AB167,FIND("·",AB167)-1),$K$164:$K$179,0))-(VALUE(MID(AB167,FIND("|",AB167)+1,FIND("-",AB167,FIND("|",AB167))-FIND("|",AB167)-1))-VALUE(MID(AB167,FIND("-",AB167,FIND("|",AB167))+1,10)))))*$D$50)))))*INDEX($I$164:$I$179,MATCH(LEFT(AB167,FIND("·",AB167)-1),$K$164:$K$179,0)),0),0),0)+IFERROR(IF(COUNTIF($C$164:$C$179,LEFT(AB167,FIND("·",AB167)-1))&gt;0,IF(INDEX($D$164:$D$179,MATCH(LEFT(AB167,FIND("·",AB167)-1),$C$164:$C$179,0))=IFERROR(VALUE(MID(AB167,FIND("·",AB167)+1,1)),0),($D$16+(INDEX($E$164:$E$179,MATCH(LEFT(AB167,FIND("·",AB167)-1),$C$164:$C$179,0))=MID(AB167,FIND("|",AB167)+1,10))*$D$18+MAX(0,IF($D$50=1,$D$17*(1-(ABS(INDEX($Q$164:$Q$179,MATCH(LEFT(AB167,FIND("·",AB167)-1),$C$164:$C$179,0))-(VALUE(MID(AB167,FIND("|",AB167)+1,FIND("-",AB167,FIND("|",AB167))-FIND("|",AB167)-1))-VALUE(MID(AB167,FIND("-",AB167,FIND("|",AB167))+1,10)))))*$D$50),$D$17*(1-(IF(INDEX($D$164:$D$179,MATCH(LEFT(AB167,FIND("·",AB167)-1),$C$164:$C$179,0))=0,ABS(INDEX($A$164:$A$179,MATCH(LEFT(AB167,FIND("·",AB167)-1),$C$164:$C$179,0))-VALUE(MID(AB167,FIND("|",AB167)+1,FIND("-",AB167,FIND("|",AB167))-FIND("|",AB167)-1))),ABS(INDEX($Q$164:$Q$179,MATCH(LEFT(AB167,FIND("·",AB167)-1),$C$164:$C$179,0))-(VALUE(MID(AB167,FIND("|",AB167)+1,FIND("-",AB167,FIND("|",AB167))-FIND("|",AB167)-1))-VALUE(MID(AB167,FIND("-",AB167,FIND("|",AB167))+1,10)))))*$D$50)))))*INDEX($I$164:$I$179,MATCH(LEFT(AB167,FIND("·",AB167)-1),$C$164:$C$179,0)),0),0),0)</f>
        <v>0</v>
      </c>
      <c r="AD167" s="110"/>
      <c r="AE167" s="74" t="s">
        <v>2050</v>
      </c>
      <c r="AF167" s="77">
        <f ca="1">IFERROR(IF(COUNTIF($K$164:$K$179,LEFT(AE167,FIND("·",AE167)-1))&gt;0,IF(INDEX($L$164:$L$179,MATCH(LEFT(AE167,FIND("·",AE167)-1),$K$164:$K$179,0))=IFERROR(VALUE(MID(AE167,FIND("·",AE167)+1,1)),0),($D$16+(INDEX($M$164:$M$179,MATCH(LEFT(AE167,FIND("·",AE167)-1),$K$164:$K$179,0))=MID(AE167,FIND("|",AE167)+1,10))*$D$18+MAX(0,IF($D$50=1,$D$17*(1-(ABS(INDEX($P$164:$P$179,MATCH(LEFT(AE167,FIND("·",AE167)-1),$K$164:$K$179,0))-(VALUE(MID(AE167,FIND("|",AE167)+1,FIND("-",AE167,FIND("|",AE167))-FIND("|",AE167)-1))-VALUE(MID(AE167,FIND("-",AE167,FIND("|",AE167))+1,10)))))*$D$50),$D$17*(1-(IF(INDEX($L$164:$L$179,MATCH(LEFT(AE167,FIND("·",AE167)-1),$K$164:$K$179,0))=0,ABS(INDEX($N$164:$N$179,MATCH(LEFT(AE167,FIND("·",AE167)-1),$K$164:$K$179,0))-VALUE(MID(AE167,FIND("|",AE167)+1,FIND("-",AE167,FIND("|",AE167))-FIND("|",AE167)-1))),ABS(INDEX($P$164:$P$179,MATCH(LEFT(AE167,FIND("·",AE167)-1),$K$164:$K$179,0))-(VALUE(MID(AE167,FIND("|",AE167)+1,FIND("-",AE167,FIND("|",AE167))-FIND("|",AE167)-1))-VALUE(MID(AE167,FIND("-",AE167,FIND("|",AE167))+1,10)))))*$D$50)))))*INDEX($I$164:$I$179,MATCH(LEFT(AE167,FIND("·",AE167)-1),$K$164:$K$179,0)),0),0),0)+IFERROR(IF(COUNTIF($C$164:$C$179,LEFT(AE167,FIND("·",AE167)-1))&gt;0,IF(INDEX($D$164:$D$179,MATCH(LEFT(AE167,FIND("·",AE167)-1),$C$164:$C$179,0))=IFERROR(VALUE(MID(AE167,FIND("·",AE167)+1,1)),0),($D$16+(INDEX($E$164:$E$179,MATCH(LEFT(AE167,FIND("·",AE167)-1),$C$164:$C$179,0))=MID(AE167,FIND("|",AE167)+1,10))*$D$18+MAX(0,IF($D$50=1,$D$17*(1-(ABS(INDEX($Q$164:$Q$179,MATCH(LEFT(AE167,FIND("·",AE167)-1),$C$164:$C$179,0))-(VALUE(MID(AE167,FIND("|",AE167)+1,FIND("-",AE167,FIND("|",AE167))-FIND("|",AE167)-1))-VALUE(MID(AE167,FIND("-",AE167,FIND("|",AE167))+1,10)))))*$D$50),$D$17*(1-(IF(INDEX($D$164:$D$179,MATCH(LEFT(AE167,FIND("·",AE167)-1),$C$164:$C$179,0))=0,ABS(INDEX($A$164:$A$179,MATCH(LEFT(AE167,FIND("·",AE167)-1),$C$164:$C$179,0))-VALUE(MID(AE167,FIND("|",AE167)+1,FIND("-",AE167,FIND("|",AE167))-FIND("|",AE167)-1))),ABS(INDEX($Q$164:$Q$179,MATCH(LEFT(AE167,FIND("·",AE167)-1),$C$164:$C$179,0))-(VALUE(MID(AE167,FIND("|",AE167)+1,FIND("-",AE167,FIND("|",AE167))-FIND("|",AE167)-1))-VALUE(MID(AE167,FIND("-",AE167,FIND("|",AE167))+1,10)))))*$D$50)))))*INDEX($I$164:$I$179,MATCH(LEFT(AE167,FIND("·",AE167)-1),$C$164:$C$179,0)),0),0),0)</f>
        <v>0</v>
      </c>
      <c r="AG167" s="110"/>
      <c r="AH167" s="74" t="s">
        <v>1982</v>
      </c>
      <c r="AI167" s="77">
        <f t="shared" ca="1" si="437"/>
        <v>0</v>
      </c>
      <c r="AJ167" s="110"/>
      <c r="AK167" s="74" t="s">
        <v>1982</v>
      </c>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7"/>
        <v>0</v>
      </c>
      <c r="CL167" s="110"/>
      <c r="CM167" s="74"/>
      <c r="CN167" s="77">
        <f t="shared" ca="1" si="457"/>
        <v>0</v>
      </c>
      <c r="CO167" s="110"/>
      <c r="CP167" s="110"/>
    </row>
    <row r="168" spans="1:94">
      <c r="A168" s="25">
        <f>WORLDCUP!AD105</f>
        <v>0</v>
      </c>
      <c r="B168" s="25">
        <f>WORLDCUP!AC105</f>
        <v>0</v>
      </c>
      <c r="C168" s="25" t="str">
        <f ca="1">CONCATENATE(WORLDCUP!AF105,"-",WORLDCUP!AA105)</f>
        <v>Noruega-Costa de Marfil</v>
      </c>
      <c r="D168" s="25" t="str">
        <f>IF(WORLDCUP!AC105&gt;WORLDCUP!AD105,2,IF(WORLDCUP!AC105&lt;WORLDCUP!AD105,1,IF(AND(WORLDCUP!AC105=WORLDCUP!AD105,WORLDCUP!AC105&lt;&gt;"",WORLDCUP!AD105&lt;&gt;""),0,"PD")))</f>
        <v>PD</v>
      </c>
      <c r="E168" s="25" t="str">
        <f>IF(OR(WORLDCUP!AC105="",WORLDCUP!AD105=""),"-",A168&amp;"-"&amp;B168)</f>
        <v>-</v>
      </c>
      <c r="F168" s="407">
        <f t="shared" si="459"/>
        <v>8</v>
      </c>
      <c r="G168" s="407">
        <f ca="1">VLOOKUP(H168,Equipos!$Q$1:$R$25,2,0)</f>
        <v>20</v>
      </c>
      <c r="H168" s="446" t="str">
        <f>Idiomas!$D$260</f>
        <v>Dieciseisavos de final</v>
      </c>
      <c r="I168" s="43">
        <v>1</v>
      </c>
      <c r="J168" s="846"/>
      <c r="K168" s="56" t="str">
        <f ca="1">CONCATENATE(WORLDCUP!AA105,"-",WORLDCUP!AF105)</f>
        <v>Costa de Marfil-Noruega</v>
      </c>
      <c r="L168" s="53" t="str">
        <f>IF(OR(WORLDCUP!AC105="",WORLDCUP!AD105=""),"PD",IF(WORLDCUP!AC105&gt;WORLDCUP!AD105,1,IF(WORLDCUP!AC105&lt;WORLDCUP!AD105,2,0)))</f>
        <v>PD</v>
      </c>
      <c r="M168" s="55" t="str">
        <f t="shared" si="460"/>
        <v>-</v>
      </c>
      <c r="N168" s="25">
        <f>WORLDCUP!AC105</f>
        <v>0</v>
      </c>
      <c r="O168" s="25">
        <f>WORLDCUP!AD105</f>
        <v>0</v>
      </c>
      <c r="P168" s="25">
        <f t="shared" si="461"/>
        <v>0</v>
      </c>
      <c r="Q168" s="25">
        <f t="shared" si="462"/>
        <v>0</v>
      </c>
      <c r="R168" s="110"/>
      <c r="S168" s="74" t="s">
        <v>1983</v>
      </c>
      <c r="T168" s="77">
        <f t="shared" ca="1" si="463"/>
        <v>0</v>
      </c>
      <c r="U168" s="110"/>
      <c r="V168" s="74" t="s">
        <v>1983</v>
      </c>
      <c r="W168" s="77">
        <f t="shared" ca="1" si="437"/>
        <v>0</v>
      </c>
      <c r="X168" s="110"/>
      <c r="Y168" s="74" t="s">
        <v>2073</v>
      </c>
      <c r="Z168" s="77">
        <f t="shared" ca="1" si="437"/>
        <v>0</v>
      </c>
      <c r="AA168" s="110"/>
      <c r="AB168" s="80" t="s">
        <v>2092</v>
      </c>
      <c r="AC168" s="77">
        <f ca="1">IFERROR(IF(COUNTIF($K$164:$K$179,LEFT(AB168,FIND("·",AB168)-1))&gt;0,IF(INDEX($L$164:$L$179,MATCH(LEFT(AB168,FIND("·",AB168)-1),$K$164:$K$179,0))=IFERROR(VALUE(MID(AB168,FIND("·",AB168)+1,1)),0),($D$16+(INDEX($M$164:$M$179,MATCH(LEFT(AB168,FIND("·",AB168)-1),$K$164:$K$179,0))=MID(AB168,FIND("|",AB168)+1,10))*$D$18+MAX(0,IF($D$50=1,$D$17*(1-(ABS(INDEX($P$164:$P$179,MATCH(LEFT(AB168,FIND("·",AB168)-1),$K$164:$K$179,0))-(VALUE(MID(AB168,FIND("|",AB168)+1,FIND("-",AB168,FIND("|",AB168))-FIND("|",AB168)-1))-VALUE(MID(AB168,FIND("-",AB168,FIND("|",AB168))+1,10)))))*$D$50),$D$17*(1-(IF(INDEX($L$164:$L$179,MATCH(LEFT(AB168,FIND("·",AB168)-1),$K$164:$K$179,0))=0,ABS(INDEX($N$164:$N$179,MATCH(LEFT(AB168,FIND("·",AB168)-1),$K$164:$K$179,0))-VALUE(MID(AB168,FIND("|",AB168)+1,FIND("-",AB168,FIND("|",AB168))-FIND("|",AB168)-1))),ABS(INDEX($P$164:$P$179,MATCH(LEFT(AB168,FIND("·",AB168)-1),$K$164:$K$179,0))-(VALUE(MID(AB168,FIND("|",AB168)+1,FIND("-",AB168,FIND("|",AB168))-FIND("|",AB168)-1))-VALUE(MID(AB168,FIND("-",AB168,FIND("|",AB168))+1,10)))))*$D$50)))))*INDEX($I$164:$I$179,MATCH(LEFT(AB168,FIND("·",AB168)-1),$K$164:$K$179,0)),0),0),0)+IFERROR(IF(COUNTIF($C$164:$C$179,LEFT(AB168,FIND("·",AB168)-1))&gt;0,IF(INDEX($D$164:$D$179,MATCH(LEFT(AB168,FIND("·",AB168)-1),$C$164:$C$179,0))=IFERROR(VALUE(MID(AB168,FIND("·",AB168)+1,1)),0),($D$16+(INDEX($E$164:$E$179,MATCH(LEFT(AB168,FIND("·",AB168)-1),$C$164:$C$179,0))=MID(AB168,FIND("|",AB168)+1,10))*$D$18+MAX(0,IF($D$50=1,$D$17*(1-(ABS(INDEX($Q$164:$Q$179,MATCH(LEFT(AB168,FIND("·",AB168)-1),$C$164:$C$179,0))-(VALUE(MID(AB168,FIND("|",AB168)+1,FIND("-",AB168,FIND("|",AB168))-FIND("|",AB168)-1))-VALUE(MID(AB168,FIND("-",AB168,FIND("|",AB168))+1,10)))))*$D$50),$D$17*(1-(IF(INDEX($D$164:$D$179,MATCH(LEFT(AB168,FIND("·",AB168)-1),$C$164:$C$179,0))=0,ABS(INDEX($A$164:$A$179,MATCH(LEFT(AB168,FIND("·",AB168)-1),$C$164:$C$179,0))-VALUE(MID(AB168,FIND("|",AB168)+1,FIND("-",AB168,FIND("|",AB168))-FIND("|",AB168)-1))),ABS(INDEX($Q$164:$Q$179,MATCH(LEFT(AB168,FIND("·",AB168)-1),$C$164:$C$179,0))-(VALUE(MID(AB168,FIND("|",AB168)+1,FIND("-",AB168,FIND("|",AB168))-FIND("|",AB168)-1))-VALUE(MID(AB168,FIND("-",AB168,FIND("|",AB168))+1,10)))))*$D$50)))))*INDEX($I$164:$I$179,MATCH(LEFT(AB168,FIND("·",AB168)-1),$C$164:$C$179,0)),0),0),0)</f>
        <v>0</v>
      </c>
      <c r="AD168" s="110"/>
      <c r="AE168" s="74" t="s">
        <v>1983</v>
      </c>
      <c r="AF168" s="77">
        <f ca="1">IFERROR(IF(COUNTIF($K$164:$K$179,LEFT(AE168,FIND("·",AE168)-1))&gt;0,IF(INDEX($L$164:$L$179,MATCH(LEFT(AE168,FIND("·",AE168)-1),$K$164:$K$179,0))=IFERROR(VALUE(MID(AE168,FIND("·",AE168)+1,1)),0),($D$16+(INDEX($M$164:$M$179,MATCH(LEFT(AE168,FIND("·",AE168)-1),$K$164:$K$179,0))=MID(AE168,FIND("|",AE168)+1,10))*$D$18+MAX(0,IF($D$50=1,$D$17*(1-(ABS(INDEX($P$164:$P$179,MATCH(LEFT(AE168,FIND("·",AE168)-1),$K$164:$K$179,0))-(VALUE(MID(AE168,FIND("|",AE168)+1,FIND("-",AE168,FIND("|",AE168))-FIND("|",AE168)-1))-VALUE(MID(AE168,FIND("-",AE168,FIND("|",AE168))+1,10)))))*$D$50),$D$17*(1-(IF(INDEX($L$164:$L$179,MATCH(LEFT(AE168,FIND("·",AE168)-1),$K$164:$K$179,0))=0,ABS(INDEX($N$164:$N$179,MATCH(LEFT(AE168,FIND("·",AE168)-1),$K$164:$K$179,0))-VALUE(MID(AE168,FIND("|",AE168)+1,FIND("-",AE168,FIND("|",AE168))-FIND("|",AE168)-1))),ABS(INDEX($P$164:$P$179,MATCH(LEFT(AE168,FIND("·",AE168)-1),$K$164:$K$179,0))-(VALUE(MID(AE168,FIND("|",AE168)+1,FIND("-",AE168,FIND("|",AE168))-FIND("|",AE168)-1))-VALUE(MID(AE168,FIND("-",AE168,FIND("|",AE168))+1,10)))))*$D$50)))))*INDEX($I$164:$I$179,MATCH(LEFT(AE168,FIND("·",AE168)-1),$K$164:$K$179,0)),0),0),0)+IFERROR(IF(COUNTIF($C$164:$C$179,LEFT(AE168,FIND("·",AE168)-1))&gt;0,IF(INDEX($D$164:$D$179,MATCH(LEFT(AE168,FIND("·",AE168)-1),$C$164:$C$179,0))=IFERROR(VALUE(MID(AE168,FIND("·",AE168)+1,1)),0),($D$16+(INDEX($E$164:$E$179,MATCH(LEFT(AE168,FIND("·",AE168)-1),$C$164:$C$179,0))=MID(AE168,FIND("|",AE168)+1,10))*$D$18+MAX(0,IF($D$50=1,$D$17*(1-(ABS(INDEX($Q$164:$Q$179,MATCH(LEFT(AE168,FIND("·",AE168)-1),$C$164:$C$179,0))-(VALUE(MID(AE168,FIND("|",AE168)+1,FIND("-",AE168,FIND("|",AE168))-FIND("|",AE168)-1))-VALUE(MID(AE168,FIND("-",AE168,FIND("|",AE168))+1,10)))))*$D$50),$D$17*(1-(IF(INDEX($D$164:$D$179,MATCH(LEFT(AE168,FIND("·",AE168)-1),$C$164:$C$179,0))=0,ABS(INDEX($A$164:$A$179,MATCH(LEFT(AE168,FIND("·",AE168)-1),$C$164:$C$179,0))-VALUE(MID(AE168,FIND("|",AE168)+1,FIND("-",AE168,FIND("|",AE168))-FIND("|",AE168)-1))),ABS(INDEX($Q$164:$Q$179,MATCH(LEFT(AE168,FIND("·",AE168)-1),$C$164:$C$179,0))-(VALUE(MID(AE168,FIND("|",AE168)+1,FIND("-",AE168,FIND("|",AE168))-FIND("|",AE168)-1))-VALUE(MID(AE168,FIND("-",AE168,FIND("|",AE168))+1,10)))))*$D$50)))))*INDEX($I$164:$I$179,MATCH(LEFT(AE168,FIND("·",AE168)-1),$C$164:$C$179,0)),0),0),0)</f>
        <v>0</v>
      </c>
      <c r="AG168" s="110"/>
      <c r="AH168" s="74" t="s">
        <v>1983</v>
      </c>
      <c r="AI168" s="77">
        <f t="shared" ca="1" si="437"/>
        <v>0</v>
      </c>
      <c r="AJ168" s="110"/>
      <c r="AK168" s="74" t="s">
        <v>1983</v>
      </c>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7"/>
        <v>0</v>
      </c>
      <c r="CL168" s="110"/>
      <c r="CM168" s="74"/>
      <c r="CN168" s="77">
        <f t="shared" ca="1" si="457"/>
        <v>0</v>
      </c>
      <c r="CO168" s="110"/>
      <c r="CP168" s="110"/>
    </row>
    <row r="169" spans="1:94">
      <c r="A169" s="25">
        <f>WORLDCUP!AD106</f>
        <v>0</v>
      </c>
      <c r="B169" s="25">
        <f>WORLDCUP!AC106</f>
        <v>0</v>
      </c>
      <c r="C169" s="25" t="str">
        <f ca="1">CONCATENATE(WORLDCUP!AF106,"-",WORLDCUP!AA106)</f>
        <v>Suecia-Francia</v>
      </c>
      <c r="D169" s="25" t="str">
        <f>IF(WORLDCUP!AC106&gt;WORLDCUP!AD106,2,IF(WORLDCUP!AC106&lt;WORLDCUP!AD106,1,IF(AND(WORLDCUP!AC106=WORLDCUP!AD106,WORLDCUP!AC106&lt;&gt;"",WORLDCUP!AD106&lt;&gt;""),0,"PD")))</f>
        <v>PD</v>
      </c>
      <c r="E169" s="25" t="str">
        <f>IF(OR(WORLDCUP!AC106="",WORLDCUP!AD106=""),"-",A169&amp;"-"&amp;B169)</f>
        <v>-</v>
      </c>
      <c r="F169" s="407">
        <f t="shared" si="459"/>
        <v>8</v>
      </c>
      <c r="G169" s="407">
        <f ca="1">VLOOKUP(H169,Equipos!$Q$1:$R$25,2,0)</f>
        <v>20</v>
      </c>
      <c r="H169" s="446" t="str">
        <f>Idiomas!$D$260</f>
        <v>Dieciseisavos de final</v>
      </c>
      <c r="I169" s="43">
        <v>1</v>
      </c>
      <c r="J169" s="846"/>
      <c r="K169" s="56" t="str">
        <f ca="1">CONCATENATE(WORLDCUP!AA106,"-",WORLDCUP!AF106)</f>
        <v>Francia-Suecia</v>
      </c>
      <c r="L169" s="53" t="str">
        <f>IF(OR(WORLDCUP!AC106="",WORLDCUP!AD106=""),"PD",IF(WORLDCUP!AC106&gt;WORLDCUP!AD106,1,IF(WORLDCUP!AC106&lt;WORLDCUP!AD106,2,0)))</f>
        <v>PD</v>
      </c>
      <c r="M169" s="55" t="str">
        <f t="shared" si="460"/>
        <v>-</v>
      </c>
      <c r="N169" s="25">
        <f>WORLDCUP!AC106</f>
        <v>0</v>
      </c>
      <c r="O169" s="25">
        <f>WORLDCUP!AD106</f>
        <v>0</v>
      </c>
      <c r="P169" s="25">
        <f t="shared" si="461"/>
        <v>0</v>
      </c>
      <c r="Q169" s="25">
        <f t="shared" si="462"/>
        <v>0</v>
      </c>
      <c r="R169" s="110"/>
      <c r="S169" s="74" t="s">
        <v>2013</v>
      </c>
      <c r="T169" s="77">
        <f t="shared" ca="1" si="463"/>
        <v>0</v>
      </c>
      <c r="U169" s="110"/>
      <c r="V169" s="74" t="s">
        <v>2037</v>
      </c>
      <c r="W169" s="77">
        <f t="shared" ca="1" si="437"/>
        <v>0</v>
      </c>
      <c r="X169" s="110"/>
      <c r="Y169" s="74" t="s">
        <v>2013</v>
      </c>
      <c r="Z169" s="77">
        <f t="shared" ca="1" si="437"/>
        <v>0</v>
      </c>
      <c r="AA169" s="110"/>
      <c r="AB169" s="80" t="s">
        <v>2037</v>
      </c>
      <c r="AC169" s="77">
        <f ca="1">IFERROR(IF(COUNTIF($K$164:$K$179,LEFT(AB169,FIND("·",AB169)-1))&gt;0,IF(INDEX($L$164:$L$179,MATCH(LEFT(AB169,FIND("·",AB169)-1),$K$164:$K$179,0))=IFERROR(VALUE(MID(AB169,FIND("·",AB169)+1,1)),0),($D$16+(INDEX($M$164:$M$179,MATCH(LEFT(AB169,FIND("·",AB169)-1),$K$164:$K$179,0))=MID(AB169,FIND("|",AB169)+1,10))*$D$18+MAX(0,IF($D$50=1,$D$17*(1-(ABS(INDEX($P$164:$P$179,MATCH(LEFT(AB169,FIND("·",AB169)-1),$K$164:$K$179,0))-(VALUE(MID(AB169,FIND("|",AB169)+1,FIND("-",AB169,FIND("|",AB169))-FIND("|",AB169)-1))-VALUE(MID(AB169,FIND("-",AB169,FIND("|",AB169))+1,10)))))*$D$50),$D$17*(1-(IF(INDEX($L$164:$L$179,MATCH(LEFT(AB169,FIND("·",AB169)-1),$K$164:$K$179,0))=0,ABS(INDEX($N$164:$N$179,MATCH(LEFT(AB169,FIND("·",AB169)-1),$K$164:$K$179,0))-VALUE(MID(AB169,FIND("|",AB169)+1,FIND("-",AB169,FIND("|",AB169))-FIND("|",AB169)-1))),ABS(INDEX($P$164:$P$179,MATCH(LEFT(AB169,FIND("·",AB169)-1),$K$164:$K$179,0))-(VALUE(MID(AB169,FIND("|",AB169)+1,FIND("-",AB169,FIND("|",AB169))-FIND("|",AB169)-1))-VALUE(MID(AB169,FIND("-",AB169,FIND("|",AB169))+1,10)))))*$D$50)))))*INDEX($I$164:$I$179,MATCH(LEFT(AB169,FIND("·",AB169)-1),$K$164:$K$179,0)),0),0),0)+IFERROR(IF(COUNTIF($C$164:$C$179,LEFT(AB169,FIND("·",AB169)-1))&gt;0,IF(INDEX($D$164:$D$179,MATCH(LEFT(AB169,FIND("·",AB169)-1),$C$164:$C$179,0))=IFERROR(VALUE(MID(AB169,FIND("·",AB169)+1,1)),0),($D$16+(INDEX($E$164:$E$179,MATCH(LEFT(AB169,FIND("·",AB169)-1),$C$164:$C$179,0))=MID(AB169,FIND("|",AB169)+1,10))*$D$18+MAX(0,IF($D$50=1,$D$17*(1-(ABS(INDEX($Q$164:$Q$179,MATCH(LEFT(AB169,FIND("·",AB169)-1),$C$164:$C$179,0))-(VALUE(MID(AB169,FIND("|",AB169)+1,FIND("-",AB169,FIND("|",AB169))-FIND("|",AB169)-1))-VALUE(MID(AB169,FIND("-",AB169,FIND("|",AB169))+1,10)))))*$D$50),$D$17*(1-(IF(INDEX($D$164:$D$179,MATCH(LEFT(AB169,FIND("·",AB169)-1),$C$164:$C$179,0))=0,ABS(INDEX($A$164:$A$179,MATCH(LEFT(AB169,FIND("·",AB169)-1),$C$164:$C$179,0))-VALUE(MID(AB169,FIND("|",AB169)+1,FIND("-",AB169,FIND("|",AB169))-FIND("|",AB169)-1))),ABS(INDEX($Q$164:$Q$179,MATCH(LEFT(AB169,FIND("·",AB169)-1),$C$164:$C$179,0))-(VALUE(MID(AB169,FIND("|",AB169)+1,FIND("-",AB169,FIND("|",AB169))-FIND("|",AB169)-1))-VALUE(MID(AB169,FIND("-",AB169,FIND("|",AB169))+1,10)))))*$D$50)))))*INDEX($I$164:$I$179,MATCH(LEFT(AB169,FIND("·",AB169)-1),$C$164:$C$179,0)),0),0),0)</f>
        <v>0</v>
      </c>
      <c r="AD169" s="110"/>
      <c r="AE169" s="74" t="s">
        <v>2051</v>
      </c>
      <c r="AF169" s="77">
        <f ca="1">IFERROR(IF(COUNTIF($K$164:$K$179,LEFT(AE169,FIND("·",AE169)-1))&gt;0,IF(INDEX($L$164:$L$179,MATCH(LEFT(AE169,FIND("·",AE169)-1),$K$164:$K$179,0))=IFERROR(VALUE(MID(AE169,FIND("·",AE169)+1,1)),0),($D$16+(INDEX($M$164:$M$179,MATCH(LEFT(AE169,FIND("·",AE169)-1),$K$164:$K$179,0))=MID(AE169,FIND("|",AE169)+1,10))*$D$18+MAX(0,IF($D$50=1,$D$17*(1-(ABS(INDEX($P$164:$P$179,MATCH(LEFT(AE169,FIND("·",AE169)-1),$K$164:$K$179,0))-(VALUE(MID(AE169,FIND("|",AE169)+1,FIND("-",AE169,FIND("|",AE169))-FIND("|",AE169)-1))-VALUE(MID(AE169,FIND("-",AE169,FIND("|",AE169))+1,10)))))*$D$50),$D$17*(1-(IF(INDEX($L$164:$L$179,MATCH(LEFT(AE169,FIND("·",AE169)-1),$K$164:$K$179,0))=0,ABS(INDEX($N$164:$N$179,MATCH(LEFT(AE169,FIND("·",AE169)-1),$K$164:$K$179,0))-VALUE(MID(AE169,FIND("|",AE169)+1,FIND("-",AE169,FIND("|",AE169))-FIND("|",AE169)-1))),ABS(INDEX($P$164:$P$179,MATCH(LEFT(AE169,FIND("·",AE169)-1),$K$164:$K$179,0))-(VALUE(MID(AE169,FIND("|",AE169)+1,FIND("-",AE169,FIND("|",AE169))-FIND("|",AE169)-1))-VALUE(MID(AE169,FIND("-",AE169,FIND("|",AE169))+1,10)))))*$D$50)))))*INDEX($I$164:$I$179,MATCH(LEFT(AE169,FIND("·",AE169)-1),$K$164:$K$179,0)),0),0),0)+IFERROR(IF(COUNTIF($C$164:$C$179,LEFT(AE169,FIND("·",AE169)-1))&gt;0,IF(INDEX($D$164:$D$179,MATCH(LEFT(AE169,FIND("·",AE169)-1),$C$164:$C$179,0))=IFERROR(VALUE(MID(AE169,FIND("·",AE169)+1,1)),0),($D$16+(INDEX($E$164:$E$179,MATCH(LEFT(AE169,FIND("·",AE169)-1),$C$164:$C$179,0))=MID(AE169,FIND("|",AE169)+1,10))*$D$18+MAX(0,IF($D$50=1,$D$17*(1-(ABS(INDEX($Q$164:$Q$179,MATCH(LEFT(AE169,FIND("·",AE169)-1),$C$164:$C$179,0))-(VALUE(MID(AE169,FIND("|",AE169)+1,FIND("-",AE169,FIND("|",AE169))-FIND("|",AE169)-1))-VALUE(MID(AE169,FIND("-",AE169,FIND("|",AE169))+1,10)))))*$D$50),$D$17*(1-(IF(INDEX($D$164:$D$179,MATCH(LEFT(AE169,FIND("·",AE169)-1),$C$164:$C$179,0))=0,ABS(INDEX($A$164:$A$179,MATCH(LEFT(AE169,FIND("·",AE169)-1),$C$164:$C$179,0))-VALUE(MID(AE169,FIND("|",AE169)+1,FIND("-",AE169,FIND("|",AE169))-FIND("|",AE169)-1))),ABS(INDEX($Q$164:$Q$179,MATCH(LEFT(AE169,FIND("·",AE169)-1),$C$164:$C$179,0))-(VALUE(MID(AE169,FIND("|",AE169)+1,FIND("-",AE169,FIND("|",AE169))-FIND("|",AE169)-1))-VALUE(MID(AE169,FIND("-",AE169,FIND("|",AE169))+1,10)))))*$D$50)))))*INDEX($I$164:$I$179,MATCH(LEFT(AE169,FIND("·",AE169)-1),$C$164:$C$179,0)),0),0),0)</f>
        <v>0</v>
      </c>
      <c r="AG169" s="110"/>
      <c r="AH169" s="74" t="s">
        <v>2013</v>
      </c>
      <c r="AI169" s="77">
        <f t="shared" ca="1" si="437"/>
        <v>0</v>
      </c>
      <c r="AJ169" s="110"/>
      <c r="AK169" s="74" t="s">
        <v>1984</v>
      </c>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7"/>
        <v>0</v>
      </c>
      <c r="CL169" s="110"/>
      <c r="CM169" s="74"/>
      <c r="CN169" s="77">
        <f t="shared" ca="1" si="457"/>
        <v>0</v>
      </c>
      <c r="CO169" s="110"/>
      <c r="CP169" s="110"/>
    </row>
    <row r="170" spans="1:94">
      <c r="A170" s="25">
        <f>WORLDCUP!AD107</f>
        <v>0</v>
      </c>
      <c r="B170" s="25">
        <f>WORLDCUP!AC107</f>
        <v>0</v>
      </c>
      <c r="C170" s="25" t="str">
        <f ca="1">CONCATENATE(WORLDCUP!AF107,"-",WORLDCUP!AA107)</f>
        <v>Ecuador-México</v>
      </c>
      <c r="D170" s="25" t="str">
        <f>IF(WORLDCUP!AC107&gt;WORLDCUP!AD107,2,IF(WORLDCUP!AC107&lt;WORLDCUP!AD107,1,IF(AND(WORLDCUP!AC107=WORLDCUP!AD107,WORLDCUP!AC107&lt;&gt;"",WORLDCUP!AD107&lt;&gt;""),0,"PD")))</f>
        <v>PD</v>
      </c>
      <c r="E170" s="25" t="str">
        <f>IF(OR(WORLDCUP!AC107="",WORLDCUP!AD107=""),"-",A170&amp;"-"&amp;B170)</f>
        <v>-</v>
      </c>
      <c r="F170" s="407">
        <f t="shared" si="459"/>
        <v>8</v>
      </c>
      <c r="G170" s="407">
        <f ca="1">VLOOKUP(H170,Equipos!$Q$1:$R$25,2,0)</f>
        <v>20</v>
      </c>
      <c r="H170" s="446" t="str">
        <f>Idiomas!$D$260</f>
        <v>Dieciseisavos de final</v>
      </c>
      <c r="I170" s="43">
        <v>1</v>
      </c>
      <c r="J170" s="846"/>
      <c r="K170" s="56" t="str">
        <f ca="1">CONCATENATE(WORLDCUP!AA107,"-",WORLDCUP!AF107)</f>
        <v>México-Ecuador</v>
      </c>
      <c r="L170" s="53" t="str">
        <f>IF(OR(WORLDCUP!AC107="",WORLDCUP!AD107=""),"PD",IF(WORLDCUP!AC107&gt;WORLDCUP!AD107,1,IF(WORLDCUP!AC107&lt;WORLDCUP!AD107,2,0)))</f>
        <v>PD</v>
      </c>
      <c r="M170" s="55" t="str">
        <f t="shared" si="460"/>
        <v>-</v>
      </c>
      <c r="N170" s="25">
        <f>WORLDCUP!AC107</f>
        <v>0</v>
      </c>
      <c r="O170" s="25">
        <f>WORLDCUP!AD107</f>
        <v>0</v>
      </c>
      <c r="P170" s="25">
        <f t="shared" si="461"/>
        <v>0</v>
      </c>
      <c r="Q170" s="25">
        <f t="shared" si="462"/>
        <v>0</v>
      </c>
      <c r="R170" s="110"/>
      <c r="S170" s="74" t="s">
        <v>2014</v>
      </c>
      <c r="T170" s="77">
        <f t="shared" ca="1" si="463"/>
        <v>0</v>
      </c>
      <c r="U170" s="110"/>
      <c r="V170" s="74" t="s">
        <v>2038</v>
      </c>
      <c r="W170" s="77">
        <f t="shared" ca="1" si="437"/>
        <v>0</v>
      </c>
      <c r="X170" s="110"/>
      <c r="Y170" s="74" t="s">
        <v>1985</v>
      </c>
      <c r="Z170" s="77">
        <f t="shared" ca="1" si="437"/>
        <v>0</v>
      </c>
      <c r="AA170" s="110"/>
      <c r="AB170" s="80" t="s">
        <v>2093</v>
      </c>
      <c r="AC170" s="77">
        <f ca="1">IFERROR(IF(COUNTIF($K$164:$K$179,LEFT(AB170,FIND("·",AB170)-1))&gt;0,IF(INDEX($L$164:$L$179,MATCH(LEFT(AB170,FIND("·",AB170)-1),$K$164:$K$179,0))=IFERROR(VALUE(MID(AB170,FIND("·",AB170)+1,1)),0),($D$16+(INDEX($M$164:$M$179,MATCH(LEFT(AB170,FIND("·",AB170)-1),$K$164:$K$179,0))=MID(AB170,FIND("|",AB170)+1,10))*$D$18+MAX(0,IF($D$50=1,$D$17*(1-(ABS(INDEX($P$164:$P$179,MATCH(LEFT(AB170,FIND("·",AB170)-1),$K$164:$K$179,0))-(VALUE(MID(AB170,FIND("|",AB170)+1,FIND("-",AB170,FIND("|",AB170))-FIND("|",AB170)-1))-VALUE(MID(AB170,FIND("-",AB170,FIND("|",AB170))+1,10)))))*$D$50),$D$17*(1-(IF(INDEX($L$164:$L$179,MATCH(LEFT(AB170,FIND("·",AB170)-1),$K$164:$K$179,0))=0,ABS(INDEX($N$164:$N$179,MATCH(LEFT(AB170,FIND("·",AB170)-1),$K$164:$K$179,0))-VALUE(MID(AB170,FIND("|",AB170)+1,FIND("-",AB170,FIND("|",AB170))-FIND("|",AB170)-1))),ABS(INDEX($P$164:$P$179,MATCH(LEFT(AB170,FIND("·",AB170)-1),$K$164:$K$179,0))-(VALUE(MID(AB170,FIND("|",AB170)+1,FIND("-",AB170,FIND("|",AB170))-FIND("|",AB170)-1))-VALUE(MID(AB170,FIND("-",AB170,FIND("|",AB170))+1,10)))))*$D$50)))))*INDEX($I$164:$I$179,MATCH(LEFT(AB170,FIND("·",AB170)-1),$K$164:$K$179,0)),0),0),0)+IFERROR(IF(COUNTIF($C$164:$C$179,LEFT(AB170,FIND("·",AB170)-1))&gt;0,IF(INDEX($D$164:$D$179,MATCH(LEFT(AB170,FIND("·",AB170)-1),$C$164:$C$179,0))=IFERROR(VALUE(MID(AB170,FIND("·",AB170)+1,1)),0),($D$16+(INDEX($E$164:$E$179,MATCH(LEFT(AB170,FIND("·",AB170)-1),$C$164:$C$179,0))=MID(AB170,FIND("|",AB170)+1,10))*$D$18+MAX(0,IF($D$50=1,$D$17*(1-(ABS(INDEX($Q$164:$Q$179,MATCH(LEFT(AB170,FIND("·",AB170)-1),$C$164:$C$179,0))-(VALUE(MID(AB170,FIND("|",AB170)+1,FIND("-",AB170,FIND("|",AB170))-FIND("|",AB170)-1))-VALUE(MID(AB170,FIND("-",AB170,FIND("|",AB170))+1,10)))))*$D$50),$D$17*(1-(IF(INDEX($D$164:$D$179,MATCH(LEFT(AB170,FIND("·",AB170)-1),$C$164:$C$179,0))=0,ABS(INDEX($A$164:$A$179,MATCH(LEFT(AB170,FIND("·",AB170)-1),$C$164:$C$179,0))-VALUE(MID(AB170,FIND("|",AB170)+1,FIND("-",AB170,FIND("|",AB170))-FIND("|",AB170)-1))),ABS(INDEX($Q$164:$Q$179,MATCH(LEFT(AB170,FIND("·",AB170)-1),$C$164:$C$179,0))-(VALUE(MID(AB170,FIND("|",AB170)+1,FIND("-",AB170,FIND("|",AB170))-FIND("|",AB170)-1))-VALUE(MID(AB170,FIND("-",AB170,FIND("|",AB170))+1,10)))))*$D$50)))))*INDEX($I$164:$I$179,MATCH(LEFT(AB170,FIND("·",AB170)-1),$C$164:$C$179,0)),0),0),0)</f>
        <v>0</v>
      </c>
      <c r="AD170" s="110"/>
      <c r="AE170" s="74" t="s">
        <v>1985</v>
      </c>
      <c r="AF170" s="77">
        <f ca="1">IFERROR(IF(COUNTIF($K$164:$K$179,LEFT(AE170,FIND("·",AE170)-1))&gt;0,IF(INDEX($L$164:$L$179,MATCH(LEFT(AE170,FIND("·",AE170)-1),$K$164:$K$179,0))=IFERROR(VALUE(MID(AE170,FIND("·",AE170)+1,1)),0),($D$16+(INDEX($M$164:$M$179,MATCH(LEFT(AE170,FIND("·",AE170)-1),$K$164:$K$179,0))=MID(AE170,FIND("|",AE170)+1,10))*$D$18+MAX(0,IF($D$50=1,$D$17*(1-(ABS(INDEX($P$164:$P$179,MATCH(LEFT(AE170,FIND("·",AE170)-1),$K$164:$K$179,0))-(VALUE(MID(AE170,FIND("|",AE170)+1,FIND("-",AE170,FIND("|",AE170))-FIND("|",AE170)-1))-VALUE(MID(AE170,FIND("-",AE170,FIND("|",AE170))+1,10)))))*$D$50),$D$17*(1-(IF(INDEX($L$164:$L$179,MATCH(LEFT(AE170,FIND("·",AE170)-1),$K$164:$K$179,0))=0,ABS(INDEX($N$164:$N$179,MATCH(LEFT(AE170,FIND("·",AE170)-1),$K$164:$K$179,0))-VALUE(MID(AE170,FIND("|",AE170)+1,FIND("-",AE170,FIND("|",AE170))-FIND("|",AE170)-1))),ABS(INDEX($P$164:$P$179,MATCH(LEFT(AE170,FIND("·",AE170)-1),$K$164:$K$179,0))-(VALUE(MID(AE170,FIND("|",AE170)+1,FIND("-",AE170,FIND("|",AE170))-FIND("|",AE170)-1))-VALUE(MID(AE170,FIND("-",AE170,FIND("|",AE170))+1,10)))))*$D$50)))))*INDEX($I$164:$I$179,MATCH(LEFT(AE170,FIND("·",AE170)-1),$K$164:$K$179,0)),0),0),0)+IFERROR(IF(COUNTIF($C$164:$C$179,LEFT(AE170,FIND("·",AE170)-1))&gt;0,IF(INDEX($D$164:$D$179,MATCH(LEFT(AE170,FIND("·",AE170)-1),$C$164:$C$179,0))=IFERROR(VALUE(MID(AE170,FIND("·",AE170)+1,1)),0),($D$16+(INDEX($E$164:$E$179,MATCH(LEFT(AE170,FIND("·",AE170)-1),$C$164:$C$179,0))=MID(AE170,FIND("|",AE170)+1,10))*$D$18+MAX(0,IF($D$50=1,$D$17*(1-(ABS(INDEX($Q$164:$Q$179,MATCH(LEFT(AE170,FIND("·",AE170)-1),$C$164:$C$179,0))-(VALUE(MID(AE170,FIND("|",AE170)+1,FIND("-",AE170,FIND("|",AE170))-FIND("|",AE170)-1))-VALUE(MID(AE170,FIND("-",AE170,FIND("|",AE170))+1,10)))))*$D$50),$D$17*(1-(IF(INDEX($D$164:$D$179,MATCH(LEFT(AE170,FIND("·",AE170)-1),$C$164:$C$179,0))=0,ABS(INDEX($A$164:$A$179,MATCH(LEFT(AE170,FIND("·",AE170)-1),$C$164:$C$179,0))-VALUE(MID(AE170,FIND("|",AE170)+1,FIND("-",AE170,FIND("|",AE170))-FIND("|",AE170)-1))),ABS(INDEX($Q$164:$Q$179,MATCH(LEFT(AE170,FIND("·",AE170)-1),$C$164:$C$179,0))-(VALUE(MID(AE170,FIND("|",AE170)+1,FIND("-",AE170,FIND("|",AE170))-FIND("|",AE170)-1))-VALUE(MID(AE170,FIND("-",AE170,FIND("|",AE170))+1,10)))))*$D$50)))))*INDEX($I$164:$I$179,MATCH(LEFT(AE170,FIND("·",AE170)-1),$C$164:$C$179,0)),0),0),0)</f>
        <v>0</v>
      </c>
      <c r="AG170" s="110"/>
      <c r="AH170" s="74" t="s">
        <v>2068</v>
      </c>
      <c r="AI170" s="77">
        <f t="shared" ca="1" si="437"/>
        <v>0</v>
      </c>
      <c r="AJ170" s="110"/>
      <c r="AK170" s="74" t="s">
        <v>1985</v>
      </c>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7"/>
        <v>0</v>
      </c>
      <c r="CL170" s="110"/>
      <c r="CM170" s="74"/>
      <c r="CN170" s="77">
        <f t="shared" ca="1" si="457"/>
        <v>0</v>
      </c>
      <c r="CO170" s="110"/>
      <c r="CP170" s="110"/>
    </row>
    <row r="171" spans="1:94">
      <c r="A171" s="25">
        <f>WORLDCUP!AD108</f>
        <v>0</v>
      </c>
      <c r="B171" s="25">
        <f>WORLDCUP!AC108</f>
        <v>0</v>
      </c>
      <c r="C171" s="25" t="str">
        <f ca="1">CONCATENATE(WORLDCUP!AF108,"-",WORLDCUP!AA108)</f>
        <v>RD Congo-Inglaterra</v>
      </c>
      <c r="D171" s="25" t="str">
        <f>IF(WORLDCUP!AC108&gt;WORLDCUP!AD108,2,IF(WORLDCUP!AC108&lt;WORLDCUP!AD108,1,IF(AND(WORLDCUP!AC108=WORLDCUP!AD108,WORLDCUP!AC108&lt;&gt;"",WORLDCUP!AD108&lt;&gt;""),0,"PD")))</f>
        <v>PD</v>
      </c>
      <c r="E171" s="25" t="str">
        <f>IF(OR(WORLDCUP!AC108="",WORLDCUP!AD108=""),"-",A171&amp;"-"&amp;B171)</f>
        <v>-</v>
      </c>
      <c r="F171" s="407">
        <f t="shared" si="459"/>
        <v>8</v>
      </c>
      <c r="G171" s="407">
        <f ca="1">VLOOKUP(H171,Equipos!$Q$1:$R$25,2,0)</f>
        <v>20</v>
      </c>
      <c r="H171" s="446" t="str">
        <f>Idiomas!$D$260</f>
        <v>Dieciseisavos de final</v>
      </c>
      <c r="I171" s="43">
        <v>1</v>
      </c>
      <c r="J171" s="846"/>
      <c r="K171" s="56" t="str">
        <f ca="1">CONCATENATE(WORLDCUP!AA108,"-",WORLDCUP!AF108)</f>
        <v>Inglaterra-RD Congo</v>
      </c>
      <c r="L171" s="53" t="str">
        <f>IF(OR(WORLDCUP!AC108="",WORLDCUP!AD108=""),"PD",IF(WORLDCUP!AC108&gt;WORLDCUP!AD108,1,IF(WORLDCUP!AC108&lt;WORLDCUP!AD108,2,0)))</f>
        <v>PD</v>
      </c>
      <c r="M171" s="55" t="str">
        <f t="shared" si="460"/>
        <v>-</v>
      </c>
      <c r="N171" s="25">
        <f>WORLDCUP!AC108</f>
        <v>0</v>
      </c>
      <c r="O171" s="25">
        <f>WORLDCUP!AD108</f>
        <v>0</v>
      </c>
      <c r="P171" s="25">
        <f t="shared" si="461"/>
        <v>0</v>
      </c>
      <c r="Q171" s="25">
        <f t="shared" si="462"/>
        <v>0</v>
      </c>
      <c r="R171" s="110"/>
      <c r="S171" s="74" t="s">
        <v>1986</v>
      </c>
      <c r="T171" s="77">
        <f t="shared" ca="1" si="463"/>
        <v>0</v>
      </c>
      <c r="U171" s="110"/>
      <c r="V171" s="74" t="s">
        <v>2039</v>
      </c>
      <c r="W171" s="77">
        <f t="shared" ca="1" si="437"/>
        <v>0</v>
      </c>
      <c r="X171" s="110"/>
      <c r="Y171" s="74" t="s">
        <v>1986</v>
      </c>
      <c r="Z171" s="77">
        <f t="shared" ca="1" si="437"/>
        <v>0</v>
      </c>
      <c r="AA171" s="110"/>
      <c r="AB171" s="80" t="s">
        <v>1986</v>
      </c>
      <c r="AC171" s="77">
        <f ca="1">IFERROR(IF(COUNTIF($K$164:$K$179,LEFT(AB171,FIND("·",AB171)-1))&gt;0,IF(INDEX($L$164:$L$179,MATCH(LEFT(AB171,FIND("·",AB171)-1),$K$164:$K$179,0))=IFERROR(VALUE(MID(AB171,FIND("·",AB171)+1,1)),0),($D$16+(INDEX($M$164:$M$179,MATCH(LEFT(AB171,FIND("·",AB171)-1),$K$164:$K$179,0))=MID(AB171,FIND("|",AB171)+1,10))*$D$18+MAX(0,IF($D$50=1,$D$17*(1-(ABS(INDEX($P$164:$P$179,MATCH(LEFT(AB171,FIND("·",AB171)-1),$K$164:$K$179,0))-(VALUE(MID(AB171,FIND("|",AB171)+1,FIND("-",AB171,FIND("|",AB171))-FIND("|",AB171)-1))-VALUE(MID(AB171,FIND("-",AB171,FIND("|",AB171))+1,10)))))*$D$50),$D$17*(1-(IF(INDEX($L$164:$L$179,MATCH(LEFT(AB171,FIND("·",AB171)-1),$K$164:$K$179,0))=0,ABS(INDEX($N$164:$N$179,MATCH(LEFT(AB171,FIND("·",AB171)-1),$K$164:$K$179,0))-VALUE(MID(AB171,FIND("|",AB171)+1,FIND("-",AB171,FIND("|",AB171))-FIND("|",AB171)-1))),ABS(INDEX($P$164:$P$179,MATCH(LEFT(AB171,FIND("·",AB171)-1),$K$164:$K$179,0))-(VALUE(MID(AB171,FIND("|",AB171)+1,FIND("-",AB171,FIND("|",AB171))-FIND("|",AB171)-1))-VALUE(MID(AB171,FIND("-",AB171,FIND("|",AB171))+1,10)))))*$D$50)))))*INDEX($I$164:$I$179,MATCH(LEFT(AB171,FIND("·",AB171)-1),$K$164:$K$179,0)),0),0),0)+IFERROR(IF(COUNTIF($C$164:$C$179,LEFT(AB171,FIND("·",AB171)-1))&gt;0,IF(INDEX($D$164:$D$179,MATCH(LEFT(AB171,FIND("·",AB171)-1),$C$164:$C$179,0))=IFERROR(VALUE(MID(AB171,FIND("·",AB171)+1,1)),0),($D$16+(INDEX($E$164:$E$179,MATCH(LEFT(AB171,FIND("·",AB171)-1),$C$164:$C$179,0))=MID(AB171,FIND("|",AB171)+1,10))*$D$18+MAX(0,IF($D$50=1,$D$17*(1-(ABS(INDEX($Q$164:$Q$179,MATCH(LEFT(AB171,FIND("·",AB171)-1),$C$164:$C$179,0))-(VALUE(MID(AB171,FIND("|",AB171)+1,FIND("-",AB171,FIND("|",AB171))-FIND("|",AB171)-1))-VALUE(MID(AB171,FIND("-",AB171,FIND("|",AB171))+1,10)))))*$D$50),$D$17*(1-(IF(INDEX($D$164:$D$179,MATCH(LEFT(AB171,FIND("·",AB171)-1),$C$164:$C$179,0))=0,ABS(INDEX($A$164:$A$179,MATCH(LEFT(AB171,FIND("·",AB171)-1),$C$164:$C$179,0))-VALUE(MID(AB171,FIND("|",AB171)+1,FIND("-",AB171,FIND("|",AB171))-FIND("|",AB171)-1))),ABS(INDEX($Q$164:$Q$179,MATCH(LEFT(AB171,FIND("·",AB171)-1),$C$164:$C$179,0))-(VALUE(MID(AB171,FIND("|",AB171)+1,FIND("-",AB171,FIND("|",AB171))-FIND("|",AB171)-1))-VALUE(MID(AB171,FIND("-",AB171,FIND("|",AB171))+1,10)))))*$D$50)))))*INDEX($I$164:$I$179,MATCH(LEFT(AB171,FIND("·",AB171)-1),$C$164:$C$179,0)),0),0),0)</f>
        <v>0</v>
      </c>
      <c r="AD171" s="110"/>
      <c r="AE171" s="74" t="s">
        <v>2052</v>
      </c>
      <c r="AF171" s="77">
        <f ca="1">IFERROR(IF(COUNTIF($K$164:$K$179,LEFT(AE171,FIND("·",AE171)-1))&gt;0,IF(INDEX($L$164:$L$179,MATCH(LEFT(AE171,FIND("·",AE171)-1),$K$164:$K$179,0))=IFERROR(VALUE(MID(AE171,FIND("·",AE171)+1,1)),0),($D$16+(INDEX($M$164:$M$179,MATCH(LEFT(AE171,FIND("·",AE171)-1),$K$164:$K$179,0))=MID(AE171,FIND("|",AE171)+1,10))*$D$18+MAX(0,IF($D$50=1,$D$17*(1-(ABS(INDEX($P$164:$P$179,MATCH(LEFT(AE171,FIND("·",AE171)-1),$K$164:$K$179,0))-(VALUE(MID(AE171,FIND("|",AE171)+1,FIND("-",AE171,FIND("|",AE171))-FIND("|",AE171)-1))-VALUE(MID(AE171,FIND("-",AE171,FIND("|",AE171))+1,10)))))*$D$50),$D$17*(1-(IF(INDEX($L$164:$L$179,MATCH(LEFT(AE171,FIND("·",AE171)-1),$K$164:$K$179,0))=0,ABS(INDEX($N$164:$N$179,MATCH(LEFT(AE171,FIND("·",AE171)-1),$K$164:$K$179,0))-VALUE(MID(AE171,FIND("|",AE171)+1,FIND("-",AE171,FIND("|",AE171))-FIND("|",AE171)-1))),ABS(INDEX($P$164:$P$179,MATCH(LEFT(AE171,FIND("·",AE171)-1),$K$164:$K$179,0))-(VALUE(MID(AE171,FIND("|",AE171)+1,FIND("-",AE171,FIND("|",AE171))-FIND("|",AE171)-1))-VALUE(MID(AE171,FIND("-",AE171,FIND("|",AE171))+1,10)))))*$D$50)))))*INDEX($I$164:$I$179,MATCH(LEFT(AE171,FIND("·",AE171)-1),$K$164:$K$179,0)),0),0),0)+IFERROR(IF(COUNTIF($C$164:$C$179,LEFT(AE171,FIND("·",AE171)-1))&gt;0,IF(INDEX($D$164:$D$179,MATCH(LEFT(AE171,FIND("·",AE171)-1),$C$164:$C$179,0))=IFERROR(VALUE(MID(AE171,FIND("·",AE171)+1,1)),0),($D$16+(INDEX($E$164:$E$179,MATCH(LEFT(AE171,FIND("·",AE171)-1),$C$164:$C$179,0))=MID(AE171,FIND("|",AE171)+1,10))*$D$18+MAX(0,IF($D$50=1,$D$17*(1-(ABS(INDEX($Q$164:$Q$179,MATCH(LEFT(AE171,FIND("·",AE171)-1),$C$164:$C$179,0))-(VALUE(MID(AE171,FIND("|",AE171)+1,FIND("-",AE171,FIND("|",AE171))-FIND("|",AE171)-1))-VALUE(MID(AE171,FIND("-",AE171,FIND("|",AE171))+1,10)))))*$D$50),$D$17*(1-(IF(INDEX($D$164:$D$179,MATCH(LEFT(AE171,FIND("·",AE171)-1),$C$164:$C$179,0))=0,ABS(INDEX($A$164:$A$179,MATCH(LEFT(AE171,FIND("·",AE171)-1),$C$164:$C$179,0))-VALUE(MID(AE171,FIND("|",AE171)+1,FIND("-",AE171,FIND("|",AE171))-FIND("|",AE171)-1))),ABS(INDEX($Q$164:$Q$179,MATCH(LEFT(AE171,FIND("·",AE171)-1),$C$164:$C$179,0))-(VALUE(MID(AE171,FIND("|",AE171)+1,FIND("-",AE171,FIND("|",AE171))-FIND("|",AE171)-1))-VALUE(MID(AE171,FIND("-",AE171,FIND("|",AE171))+1,10)))))*$D$50)))))*INDEX($I$164:$I$179,MATCH(LEFT(AE171,FIND("·",AE171)-1),$C$164:$C$179,0)),0),0),0)</f>
        <v>0</v>
      </c>
      <c r="AG171" s="110"/>
      <c r="AH171" s="74" t="s">
        <v>1986</v>
      </c>
      <c r="AI171" s="77">
        <f t="shared" ca="1" si="437"/>
        <v>0</v>
      </c>
      <c r="AJ171" s="110"/>
      <c r="AK171" s="74" t="s">
        <v>1986</v>
      </c>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7"/>
        <v>0</v>
      </c>
      <c r="CL171" s="110"/>
      <c r="CM171" s="74"/>
      <c r="CN171" s="77">
        <f t="shared" ca="1" si="457"/>
        <v>0</v>
      </c>
      <c r="CO171" s="110"/>
      <c r="CP171" s="110"/>
    </row>
    <row r="172" spans="1:94">
      <c r="A172" s="25">
        <f>WORLDCUP!AD109</f>
        <v>0</v>
      </c>
      <c r="B172" s="25">
        <f>WORLDCUP!AC109</f>
        <v>0</v>
      </c>
      <c r="C172" s="25" t="str">
        <f ca="1">CONCATENATE(WORLDCUP!AF109,"-",WORLDCUP!AA109)</f>
        <v>Senegal-Bélgica</v>
      </c>
      <c r="D172" s="25" t="str">
        <f>IF(WORLDCUP!AC109&gt;WORLDCUP!AD109,2,IF(WORLDCUP!AC109&lt;WORLDCUP!AD109,1,IF(AND(WORLDCUP!AC109=WORLDCUP!AD109,WORLDCUP!AC109&lt;&gt;"",WORLDCUP!AD109&lt;&gt;""),0,"PD")))</f>
        <v>PD</v>
      </c>
      <c r="E172" s="25" t="str">
        <f>IF(OR(WORLDCUP!AC109="",WORLDCUP!AD109=""),"-",A172&amp;"-"&amp;B172)</f>
        <v>-</v>
      </c>
      <c r="F172" s="407">
        <f t="shared" si="459"/>
        <v>8</v>
      </c>
      <c r="G172" s="407">
        <f ca="1">VLOOKUP(H172,Equipos!$Q$1:$R$25,2,0)</f>
        <v>20</v>
      </c>
      <c r="H172" s="446" t="str">
        <f>Idiomas!$D$260</f>
        <v>Dieciseisavos de final</v>
      </c>
      <c r="I172" s="43">
        <v>1</v>
      </c>
      <c r="J172" s="846"/>
      <c r="K172" s="56" t="str">
        <f ca="1">CONCATENATE(WORLDCUP!AA109,"-",WORLDCUP!AF109)</f>
        <v>Bélgica-Senegal</v>
      </c>
      <c r="L172" s="53" t="str">
        <f>IF(OR(WORLDCUP!AC109="",WORLDCUP!AD109=""),"PD",IF(WORLDCUP!AC109&gt;WORLDCUP!AD109,1,IF(WORLDCUP!AC109&lt;WORLDCUP!AD109,2,0)))</f>
        <v>PD</v>
      </c>
      <c r="M172" s="55" t="str">
        <f t="shared" si="460"/>
        <v>-</v>
      </c>
      <c r="N172" s="25">
        <f>WORLDCUP!AC109</f>
        <v>0</v>
      </c>
      <c r="O172" s="25">
        <f>WORLDCUP!AD109</f>
        <v>0</v>
      </c>
      <c r="P172" s="25">
        <f t="shared" si="461"/>
        <v>0</v>
      </c>
      <c r="Q172" s="25">
        <f t="shared" si="462"/>
        <v>0</v>
      </c>
      <c r="R172" s="110"/>
      <c r="S172" s="74" t="s">
        <v>2015</v>
      </c>
      <c r="T172" s="77">
        <f t="shared" ca="1" si="463"/>
        <v>0</v>
      </c>
      <c r="U172" s="110"/>
      <c r="V172" s="74" t="s">
        <v>2040</v>
      </c>
      <c r="W172" s="77">
        <f t="shared" ca="1" si="437"/>
        <v>0</v>
      </c>
      <c r="X172" s="110"/>
      <c r="Y172" s="74" t="s">
        <v>2069</v>
      </c>
      <c r="Z172" s="77">
        <f t="shared" ca="1" si="437"/>
        <v>0</v>
      </c>
      <c r="AA172" s="110"/>
      <c r="AB172" s="80" t="s">
        <v>2069</v>
      </c>
      <c r="AC172" s="77">
        <f ca="1">IFERROR(IF(COUNTIF($K$164:$K$179,LEFT(AB172,FIND("·",AB172)-1))&gt;0,IF(INDEX($L$164:$L$179,MATCH(LEFT(AB172,FIND("·",AB172)-1),$K$164:$K$179,0))=IFERROR(VALUE(MID(AB172,FIND("·",AB172)+1,1)),0),($D$16+(INDEX($M$164:$M$179,MATCH(LEFT(AB172,FIND("·",AB172)-1),$K$164:$K$179,0))=MID(AB172,FIND("|",AB172)+1,10))*$D$18+MAX(0,IF($D$50=1,$D$17*(1-(ABS(INDEX($P$164:$P$179,MATCH(LEFT(AB172,FIND("·",AB172)-1),$K$164:$K$179,0))-(VALUE(MID(AB172,FIND("|",AB172)+1,FIND("-",AB172,FIND("|",AB172))-FIND("|",AB172)-1))-VALUE(MID(AB172,FIND("-",AB172,FIND("|",AB172))+1,10)))))*$D$50),$D$17*(1-(IF(INDEX($L$164:$L$179,MATCH(LEFT(AB172,FIND("·",AB172)-1),$K$164:$K$179,0))=0,ABS(INDEX($N$164:$N$179,MATCH(LEFT(AB172,FIND("·",AB172)-1),$K$164:$K$179,0))-VALUE(MID(AB172,FIND("|",AB172)+1,FIND("-",AB172,FIND("|",AB172))-FIND("|",AB172)-1))),ABS(INDEX($P$164:$P$179,MATCH(LEFT(AB172,FIND("·",AB172)-1),$K$164:$K$179,0))-(VALUE(MID(AB172,FIND("|",AB172)+1,FIND("-",AB172,FIND("|",AB172))-FIND("|",AB172)-1))-VALUE(MID(AB172,FIND("-",AB172,FIND("|",AB172))+1,10)))))*$D$50)))))*INDEX($I$164:$I$179,MATCH(LEFT(AB172,FIND("·",AB172)-1),$K$164:$K$179,0)),0),0),0)+IFERROR(IF(COUNTIF($C$164:$C$179,LEFT(AB172,FIND("·",AB172)-1))&gt;0,IF(INDEX($D$164:$D$179,MATCH(LEFT(AB172,FIND("·",AB172)-1),$C$164:$C$179,0))=IFERROR(VALUE(MID(AB172,FIND("·",AB172)+1,1)),0),($D$16+(INDEX($E$164:$E$179,MATCH(LEFT(AB172,FIND("·",AB172)-1),$C$164:$C$179,0))=MID(AB172,FIND("|",AB172)+1,10))*$D$18+MAX(0,IF($D$50=1,$D$17*(1-(ABS(INDEX($Q$164:$Q$179,MATCH(LEFT(AB172,FIND("·",AB172)-1),$C$164:$C$179,0))-(VALUE(MID(AB172,FIND("|",AB172)+1,FIND("-",AB172,FIND("|",AB172))-FIND("|",AB172)-1))-VALUE(MID(AB172,FIND("-",AB172,FIND("|",AB172))+1,10)))))*$D$50),$D$17*(1-(IF(INDEX($D$164:$D$179,MATCH(LEFT(AB172,FIND("·",AB172)-1),$C$164:$C$179,0))=0,ABS(INDEX($A$164:$A$179,MATCH(LEFT(AB172,FIND("·",AB172)-1),$C$164:$C$179,0))-VALUE(MID(AB172,FIND("|",AB172)+1,FIND("-",AB172,FIND("|",AB172))-FIND("|",AB172)-1))),ABS(INDEX($Q$164:$Q$179,MATCH(LEFT(AB172,FIND("·",AB172)-1),$C$164:$C$179,0))-(VALUE(MID(AB172,FIND("|",AB172)+1,FIND("-",AB172,FIND("|",AB172))-FIND("|",AB172)-1))-VALUE(MID(AB172,FIND("-",AB172,FIND("|",AB172))+1,10)))))*$D$50)))))*INDEX($I$164:$I$179,MATCH(LEFT(AB172,FIND("·",AB172)-1),$C$164:$C$179,0)),0),0),0)</f>
        <v>0</v>
      </c>
      <c r="AD172" s="110"/>
      <c r="AE172" s="74" t="s">
        <v>2053</v>
      </c>
      <c r="AF172" s="77">
        <f ca="1">IFERROR(IF(COUNTIF($K$164:$K$179,LEFT(AE172,FIND("·",AE172)-1))&gt;0,IF(INDEX($L$164:$L$179,MATCH(LEFT(AE172,FIND("·",AE172)-1),$K$164:$K$179,0))=IFERROR(VALUE(MID(AE172,FIND("·",AE172)+1,1)),0),($D$16+(INDEX($M$164:$M$179,MATCH(LEFT(AE172,FIND("·",AE172)-1),$K$164:$K$179,0))=MID(AE172,FIND("|",AE172)+1,10))*$D$18+MAX(0,IF($D$50=1,$D$17*(1-(ABS(INDEX($P$164:$P$179,MATCH(LEFT(AE172,FIND("·",AE172)-1),$K$164:$K$179,0))-(VALUE(MID(AE172,FIND("|",AE172)+1,FIND("-",AE172,FIND("|",AE172))-FIND("|",AE172)-1))-VALUE(MID(AE172,FIND("-",AE172,FIND("|",AE172))+1,10)))))*$D$50),$D$17*(1-(IF(INDEX($L$164:$L$179,MATCH(LEFT(AE172,FIND("·",AE172)-1),$K$164:$K$179,0))=0,ABS(INDEX($N$164:$N$179,MATCH(LEFT(AE172,FIND("·",AE172)-1),$K$164:$K$179,0))-VALUE(MID(AE172,FIND("|",AE172)+1,FIND("-",AE172,FIND("|",AE172))-FIND("|",AE172)-1))),ABS(INDEX($P$164:$P$179,MATCH(LEFT(AE172,FIND("·",AE172)-1),$K$164:$K$179,0))-(VALUE(MID(AE172,FIND("|",AE172)+1,FIND("-",AE172,FIND("|",AE172))-FIND("|",AE172)-1))-VALUE(MID(AE172,FIND("-",AE172,FIND("|",AE172))+1,10)))))*$D$50)))))*INDEX($I$164:$I$179,MATCH(LEFT(AE172,FIND("·",AE172)-1),$K$164:$K$179,0)),0),0),0)+IFERROR(IF(COUNTIF($C$164:$C$179,LEFT(AE172,FIND("·",AE172)-1))&gt;0,IF(INDEX($D$164:$D$179,MATCH(LEFT(AE172,FIND("·",AE172)-1),$C$164:$C$179,0))=IFERROR(VALUE(MID(AE172,FIND("·",AE172)+1,1)),0),($D$16+(INDEX($E$164:$E$179,MATCH(LEFT(AE172,FIND("·",AE172)-1),$C$164:$C$179,0))=MID(AE172,FIND("|",AE172)+1,10))*$D$18+MAX(0,IF($D$50=1,$D$17*(1-(ABS(INDEX($Q$164:$Q$179,MATCH(LEFT(AE172,FIND("·",AE172)-1),$C$164:$C$179,0))-(VALUE(MID(AE172,FIND("|",AE172)+1,FIND("-",AE172,FIND("|",AE172))-FIND("|",AE172)-1))-VALUE(MID(AE172,FIND("-",AE172,FIND("|",AE172))+1,10)))))*$D$50),$D$17*(1-(IF(INDEX($D$164:$D$179,MATCH(LEFT(AE172,FIND("·",AE172)-1),$C$164:$C$179,0))=0,ABS(INDEX($A$164:$A$179,MATCH(LEFT(AE172,FIND("·",AE172)-1),$C$164:$C$179,0))-VALUE(MID(AE172,FIND("|",AE172)+1,FIND("-",AE172,FIND("|",AE172))-FIND("|",AE172)-1))),ABS(INDEX($Q$164:$Q$179,MATCH(LEFT(AE172,FIND("·",AE172)-1),$C$164:$C$179,0))-(VALUE(MID(AE172,FIND("|",AE172)+1,FIND("-",AE172,FIND("|",AE172))-FIND("|",AE172)-1))-VALUE(MID(AE172,FIND("-",AE172,FIND("|",AE172))+1,10)))))*$D$50)))))*INDEX($I$164:$I$179,MATCH(LEFT(AE172,FIND("·",AE172)-1),$C$164:$C$179,0)),0),0),0)</f>
        <v>0</v>
      </c>
      <c r="AG172" s="110"/>
      <c r="AH172" s="74" t="s">
        <v>2069</v>
      </c>
      <c r="AI172" s="77">
        <f t="shared" ca="1" si="437"/>
        <v>0</v>
      </c>
      <c r="AJ172" s="110"/>
      <c r="AK172" s="74" t="s">
        <v>1987</v>
      </c>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7"/>
        <v>0</v>
      </c>
      <c r="CL172" s="110"/>
      <c r="CM172" s="74"/>
      <c r="CN172" s="77">
        <f t="shared" ca="1" si="457"/>
        <v>0</v>
      </c>
      <c r="CO172" s="110"/>
      <c r="CP172" s="110"/>
    </row>
    <row r="173" spans="1:94">
      <c r="A173" s="25">
        <f>WORLDCUP!AD110</f>
        <v>0</v>
      </c>
      <c r="B173" s="25">
        <f>WORLDCUP!AC110</f>
        <v>0</v>
      </c>
      <c r="C173" s="25" t="str">
        <f ca="1">CONCATENATE(WORLDCUP!AF110,"-",WORLDCUP!AA110)</f>
        <v>Bosnia y Herzegovina-Estados Unidos</v>
      </c>
      <c r="D173" s="25" t="str">
        <f>IF(WORLDCUP!AC110&gt;WORLDCUP!AD110,2,IF(WORLDCUP!AC110&lt;WORLDCUP!AD110,1,IF(AND(WORLDCUP!AC110=WORLDCUP!AD110,WORLDCUP!AC110&lt;&gt;"",WORLDCUP!AD110&lt;&gt;""),0,"PD")))</f>
        <v>PD</v>
      </c>
      <c r="E173" s="25" t="str">
        <f>IF(OR(WORLDCUP!AC110="",WORLDCUP!AD110=""),"-",A173&amp;"-"&amp;B173)</f>
        <v>-</v>
      </c>
      <c r="F173" s="407">
        <f t="shared" si="459"/>
        <v>8</v>
      </c>
      <c r="G173" s="407">
        <f ca="1">VLOOKUP(H173,Equipos!$Q$1:$R$25,2,0)</f>
        <v>20</v>
      </c>
      <c r="H173" s="446" t="str">
        <f>Idiomas!$D$260</f>
        <v>Dieciseisavos de final</v>
      </c>
      <c r="I173" s="43">
        <v>1</v>
      </c>
      <c r="J173" s="846"/>
      <c r="K173" s="56" t="str">
        <f ca="1">CONCATENATE(WORLDCUP!AA110,"-",WORLDCUP!AF110)</f>
        <v>Estados Unidos-Bosnia y Herzegovina</v>
      </c>
      <c r="L173" s="53" t="str">
        <f>IF(OR(WORLDCUP!AC110="",WORLDCUP!AD110=""),"PD",IF(WORLDCUP!AC110&gt;WORLDCUP!AD110,1,IF(WORLDCUP!AC110&lt;WORLDCUP!AD110,2,0)))</f>
        <v>PD</v>
      </c>
      <c r="M173" s="55" t="str">
        <f t="shared" si="460"/>
        <v>-</v>
      </c>
      <c r="N173" s="25">
        <f>WORLDCUP!AC110</f>
        <v>0</v>
      </c>
      <c r="O173" s="25">
        <f>WORLDCUP!AD110</f>
        <v>0</v>
      </c>
      <c r="P173" s="25">
        <f t="shared" si="461"/>
        <v>0</v>
      </c>
      <c r="Q173" s="25">
        <f t="shared" si="462"/>
        <v>0</v>
      </c>
      <c r="R173" s="110"/>
      <c r="S173" s="74" t="s">
        <v>2016</v>
      </c>
      <c r="T173" s="77">
        <f t="shared" ca="1" si="463"/>
        <v>0</v>
      </c>
      <c r="U173" s="110"/>
      <c r="V173" s="74" t="s">
        <v>1988</v>
      </c>
      <c r="W173" s="77">
        <f t="shared" ca="1" si="437"/>
        <v>0</v>
      </c>
      <c r="X173" s="110"/>
      <c r="Y173" s="74" t="s">
        <v>2074</v>
      </c>
      <c r="Z173" s="77">
        <f t="shared" ca="1" si="437"/>
        <v>0</v>
      </c>
      <c r="AA173" s="110"/>
      <c r="AB173" s="74" t="s">
        <v>2074</v>
      </c>
      <c r="AC173" s="77">
        <f ca="1">IFERROR(IF(COUNTIF($K$164:$K$179,LEFT(AB173,FIND("·",AB173)-1))&gt;0,IF(INDEX($L$164:$L$179,MATCH(LEFT(AB173,FIND("·",AB173)-1),$K$164:$K$179,0))=IFERROR(VALUE(MID(AB173,FIND("·",AB173)+1,1)),0),($D$16+(INDEX($M$164:$M$179,MATCH(LEFT(AB173,FIND("·",AB173)-1),$K$164:$K$179,0))=MID(AB173,FIND("|",AB173)+1,10))*$D$18+MAX(0,IF($D$50=1,$D$17*(1-(ABS(INDEX($P$164:$P$179,MATCH(LEFT(AB173,FIND("·",AB173)-1),$K$164:$K$179,0))-(VALUE(MID(AB173,FIND("|",AB173)+1,FIND("-",AB173,FIND("|",AB173))-FIND("|",AB173)-1))-VALUE(MID(AB173,FIND("-",AB173,FIND("|",AB173))+1,10)))))*$D$50),$D$17*(1-(IF(INDEX($L$164:$L$179,MATCH(LEFT(AB173,FIND("·",AB173)-1),$K$164:$K$179,0))=0,ABS(INDEX($N$164:$N$179,MATCH(LEFT(AB173,FIND("·",AB173)-1),$K$164:$K$179,0))-VALUE(MID(AB173,FIND("|",AB173)+1,FIND("-",AB173,FIND("|",AB173))-FIND("|",AB173)-1))),ABS(INDEX($P$164:$P$179,MATCH(LEFT(AB173,FIND("·",AB173)-1),$K$164:$K$179,0))-(VALUE(MID(AB173,FIND("|",AB173)+1,FIND("-",AB173,FIND("|",AB173))-FIND("|",AB173)-1))-VALUE(MID(AB173,FIND("-",AB173,FIND("|",AB173))+1,10)))))*$D$50)))))*INDEX($I$164:$I$179,MATCH(LEFT(AB173,FIND("·",AB173)-1),$K$164:$K$179,0)),0),0),0)+IFERROR(IF(COUNTIF($C$164:$C$179,LEFT(AB173,FIND("·",AB173)-1))&gt;0,IF(INDEX($D$164:$D$179,MATCH(LEFT(AB173,FIND("·",AB173)-1),$C$164:$C$179,0))=IFERROR(VALUE(MID(AB173,FIND("·",AB173)+1,1)),0),($D$16+(INDEX($E$164:$E$179,MATCH(LEFT(AB173,FIND("·",AB173)-1),$C$164:$C$179,0))=MID(AB173,FIND("|",AB173)+1,10))*$D$18+MAX(0,IF($D$50=1,$D$17*(1-(ABS(INDEX($Q$164:$Q$179,MATCH(LEFT(AB173,FIND("·",AB173)-1),$C$164:$C$179,0))-(VALUE(MID(AB173,FIND("|",AB173)+1,FIND("-",AB173,FIND("|",AB173))-FIND("|",AB173)-1))-VALUE(MID(AB173,FIND("-",AB173,FIND("|",AB173))+1,10)))))*$D$50),$D$17*(1-(IF(INDEX($D$164:$D$179,MATCH(LEFT(AB173,FIND("·",AB173)-1),$C$164:$C$179,0))=0,ABS(INDEX($A$164:$A$179,MATCH(LEFT(AB173,FIND("·",AB173)-1),$C$164:$C$179,0))-VALUE(MID(AB173,FIND("|",AB173)+1,FIND("-",AB173,FIND("|",AB173))-FIND("|",AB173)-1))),ABS(INDEX($Q$164:$Q$179,MATCH(LEFT(AB173,FIND("·",AB173)-1),$C$164:$C$179,0))-(VALUE(MID(AB173,FIND("|",AB173)+1,FIND("-",AB173,FIND("|",AB173))-FIND("|",AB173)-1))-VALUE(MID(AB173,FIND("-",AB173,FIND("|",AB173))+1,10)))))*$D$50)))))*INDEX($I$164:$I$179,MATCH(LEFT(AB173,FIND("·",AB173)-1),$C$164:$C$179,0)),0),0),0)</f>
        <v>0</v>
      </c>
      <c r="AD173" s="110"/>
      <c r="AE173" s="74" t="s">
        <v>2016</v>
      </c>
      <c r="AF173" s="77">
        <f ca="1">IFERROR(IF(COUNTIF($K$164:$K$179,LEFT(AE173,FIND("·",AE173)-1))&gt;0,IF(INDEX($L$164:$L$179,MATCH(LEFT(AE173,FIND("·",AE173)-1),$K$164:$K$179,0))=IFERROR(VALUE(MID(AE173,FIND("·",AE173)+1,1)),0),($D$16+(INDEX($M$164:$M$179,MATCH(LEFT(AE173,FIND("·",AE173)-1),$K$164:$K$179,0))=MID(AE173,FIND("|",AE173)+1,10))*$D$18+MAX(0,IF($D$50=1,$D$17*(1-(ABS(INDEX($P$164:$P$179,MATCH(LEFT(AE173,FIND("·",AE173)-1),$K$164:$K$179,0))-(VALUE(MID(AE173,FIND("|",AE173)+1,FIND("-",AE173,FIND("|",AE173))-FIND("|",AE173)-1))-VALUE(MID(AE173,FIND("-",AE173,FIND("|",AE173))+1,10)))))*$D$50),$D$17*(1-(IF(INDEX($L$164:$L$179,MATCH(LEFT(AE173,FIND("·",AE173)-1),$K$164:$K$179,0))=0,ABS(INDEX($N$164:$N$179,MATCH(LEFT(AE173,FIND("·",AE173)-1),$K$164:$K$179,0))-VALUE(MID(AE173,FIND("|",AE173)+1,FIND("-",AE173,FIND("|",AE173))-FIND("|",AE173)-1))),ABS(INDEX($P$164:$P$179,MATCH(LEFT(AE173,FIND("·",AE173)-1),$K$164:$K$179,0))-(VALUE(MID(AE173,FIND("|",AE173)+1,FIND("-",AE173,FIND("|",AE173))-FIND("|",AE173)-1))-VALUE(MID(AE173,FIND("-",AE173,FIND("|",AE173))+1,10)))))*$D$50)))))*INDEX($I$164:$I$179,MATCH(LEFT(AE173,FIND("·",AE173)-1),$K$164:$K$179,0)),0),0),0)+IFERROR(IF(COUNTIF($C$164:$C$179,LEFT(AE173,FIND("·",AE173)-1))&gt;0,IF(INDEX($D$164:$D$179,MATCH(LEFT(AE173,FIND("·",AE173)-1),$C$164:$C$179,0))=IFERROR(VALUE(MID(AE173,FIND("·",AE173)+1,1)),0),($D$16+(INDEX($E$164:$E$179,MATCH(LEFT(AE173,FIND("·",AE173)-1),$C$164:$C$179,0))=MID(AE173,FIND("|",AE173)+1,10))*$D$18+MAX(0,IF($D$50=1,$D$17*(1-(ABS(INDEX($Q$164:$Q$179,MATCH(LEFT(AE173,FIND("·",AE173)-1),$C$164:$C$179,0))-(VALUE(MID(AE173,FIND("|",AE173)+1,FIND("-",AE173,FIND("|",AE173))-FIND("|",AE173)-1))-VALUE(MID(AE173,FIND("-",AE173,FIND("|",AE173))+1,10)))))*$D$50),$D$17*(1-(IF(INDEX($D$164:$D$179,MATCH(LEFT(AE173,FIND("·",AE173)-1),$C$164:$C$179,0))=0,ABS(INDEX($A$164:$A$179,MATCH(LEFT(AE173,FIND("·",AE173)-1),$C$164:$C$179,0))-VALUE(MID(AE173,FIND("|",AE173)+1,FIND("-",AE173,FIND("|",AE173))-FIND("|",AE173)-1))),ABS(INDEX($Q$164:$Q$179,MATCH(LEFT(AE173,FIND("·",AE173)-1),$C$164:$C$179,0))-(VALUE(MID(AE173,FIND("|",AE173)+1,FIND("-",AE173,FIND("|",AE173))-FIND("|",AE173)-1))-VALUE(MID(AE173,FIND("-",AE173,FIND("|",AE173))+1,10)))))*$D$50)))))*INDEX($I$164:$I$179,MATCH(LEFT(AE173,FIND("·",AE173)-1),$C$164:$C$179,0)),0),0),0)</f>
        <v>0</v>
      </c>
      <c r="AG173" s="110"/>
      <c r="AH173" s="74" t="s">
        <v>1988</v>
      </c>
      <c r="AI173" s="77">
        <f t="shared" ca="1" si="437"/>
        <v>0</v>
      </c>
      <c r="AJ173" s="110"/>
      <c r="AK173" s="74" t="s">
        <v>1988</v>
      </c>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7"/>
        <v>0</v>
      </c>
      <c r="CL173" s="110"/>
      <c r="CM173" s="74"/>
      <c r="CN173" s="77">
        <f t="shared" ca="1" si="457"/>
        <v>0</v>
      </c>
      <c r="CO173" s="110"/>
      <c r="CP173" s="110"/>
    </row>
    <row r="174" spans="1:94">
      <c r="A174" s="25">
        <f>WORLDCUP!AD111</f>
        <v>0</v>
      </c>
      <c r="B174" s="25">
        <f>WORLDCUP!AC111</f>
        <v>0</v>
      </c>
      <c r="C174" s="25" t="str">
        <f ca="1">CONCATENATE(WORLDCUP!AF111,"-",WORLDCUP!AA111)</f>
        <v>Austria-España</v>
      </c>
      <c r="D174" s="25" t="str">
        <f>IF(WORLDCUP!AC111&gt;WORLDCUP!AD111,2,IF(WORLDCUP!AC111&lt;WORLDCUP!AD111,1,IF(AND(WORLDCUP!AC111=WORLDCUP!AD111,WORLDCUP!AC111&lt;&gt;"",WORLDCUP!AD111&lt;&gt;""),0,"PD")))</f>
        <v>PD</v>
      </c>
      <c r="E174" s="25" t="str">
        <f>IF(OR(WORLDCUP!AC111="",WORLDCUP!AD111=""),"-",A174&amp;"-"&amp;B174)</f>
        <v>-</v>
      </c>
      <c r="F174" s="407">
        <f t="shared" si="459"/>
        <v>8</v>
      </c>
      <c r="G174" s="407">
        <f ca="1">VLOOKUP(H174,Equipos!$Q$1:$R$25,2,0)</f>
        <v>20</v>
      </c>
      <c r="H174" s="446" t="str">
        <f>Idiomas!$D$260</f>
        <v>Dieciseisavos de final</v>
      </c>
      <c r="I174" s="43">
        <v>1</v>
      </c>
      <c r="J174" s="846"/>
      <c r="K174" s="56" t="str">
        <f ca="1">CONCATENATE(WORLDCUP!AA111,"-",WORLDCUP!AF111)</f>
        <v>España-Austria</v>
      </c>
      <c r="L174" s="53" t="str">
        <f>IF(OR(WORLDCUP!AC111="",WORLDCUP!AD111=""),"PD",IF(WORLDCUP!AC111&gt;WORLDCUP!AD111,1,IF(WORLDCUP!AC111&lt;WORLDCUP!AD111,2,0)))</f>
        <v>PD</v>
      </c>
      <c r="M174" s="55" t="str">
        <f t="shared" si="460"/>
        <v>-</v>
      </c>
      <c r="N174" s="25">
        <f>WORLDCUP!AC111</f>
        <v>0</v>
      </c>
      <c r="O174" s="25">
        <f>WORLDCUP!AD111</f>
        <v>0</v>
      </c>
      <c r="P174" s="25">
        <f t="shared" si="461"/>
        <v>0</v>
      </c>
      <c r="Q174" s="25">
        <f t="shared" si="462"/>
        <v>0</v>
      </c>
      <c r="R174" s="110"/>
      <c r="S174" s="74" t="s">
        <v>2017</v>
      </c>
      <c r="T174" s="77">
        <f t="shared" ca="1" si="463"/>
        <v>0</v>
      </c>
      <c r="U174" s="110"/>
      <c r="V174" s="74" t="s">
        <v>2041</v>
      </c>
      <c r="W174" s="77">
        <f t="shared" ca="1" si="437"/>
        <v>0</v>
      </c>
      <c r="X174" s="110"/>
      <c r="Y174" s="74" t="s">
        <v>2054</v>
      </c>
      <c r="Z174" s="77">
        <f t="shared" ca="1" si="437"/>
        <v>0</v>
      </c>
      <c r="AA174" s="110"/>
      <c r="AB174" s="74" t="s">
        <v>2094</v>
      </c>
      <c r="AC174" s="77">
        <f ca="1">IFERROR(IF(COUNTIF($K$164:$K$179,LEFT(AB174,FIND("·",AB174)-1))&gt;0,IF(INDEX($L$164:$L$179,MATCH(LEFT(AB174,FIND("·",AB174)-1),$K$164:$K$179,0))=IFERROR(VALUE(MID(AB174,FIND("·",AB174)+1,1)),0),($D$16+(INDEX($M$164:$M$179,MATCH(LEFT(AB174,FIND("·",AB174)-1),$K$164:$K$179,0))=MID(AB174,FIND("|",AB174)+1,10))*$D$18+MAX(0,IF($D$50=1,$D$17*(1-(ABS(INDEX($P$164:$P$179,MATCH(LEFT(AB174,FIND("·",AB174)-1),$K$164:$K$179,0))-(VALUE(MID(AB174,FIND("|",AB174)+1,FIND("-",AB174,FIND("|",AB174))-FIND("|",AB174)-1))-VALUE(MID(AB174,FIND("-",AB174,FIND("|",AB174))+1,10)))))*$D$50),$D$17*(1-(IF(INDEX($L$164:$L$179,MATCH(LEFT(AB174,FIND("·",AB174)-1),$K$164:$K$179,0))=0,ABS(INDEX($N$164:$N$179,MATCH(LEFT(AB174,FIND("·",AB174)-1),$K$164:$K$179,0))-VALUE(MID(AB174,FIND("|",AB174)+1,FIND("-",AB174,FIND("|",AB174))-FIND("|",AB174)-1))),ABS(INDEX($P$164:$P$179,MATCH(LEFT(AB174,FIND("·",AB174)-1),$K$164:$K$179,0))-(VALUE(MID(AB174,FIND("|",AB174)+1,FIND("-",AB174,FIND("|",AB174))-FIND("|",AB174)-1))-VALUE(MID(AB174,FIND("-",AB174,FIND("|",AB174))+1,10)))))*$D$50)))))*INDEX($I$164:$I$179,MATCH(LEFT(AB174,FIND("·",AB174)-1),$K$164:$K$179,0)),0),0),0)+IFERROR(IF(COUNTIF($C$164:$C$179,LEFT(AB174,FIND("·",AB174)-1))&gt;0,IF(INDEX($D$164:$D$179,MATCH(LEFT(AB174,FIND("·",AB174)-1),$C$164:$C$179,0))=IFERROR(VALUE(MID(AB174,FIND("·",AB174)+1,1)),0),($D$16+(INDEX($E$164:$E$179,MATCH(LEFT(AB174,FIND("·",AB174)-1),$C$164:$C$179,0))=MID(AB174,FIND("|",AB174)+1,10))*$D$18+MAX(0,IF($D$50=1,$D$17*(1-(ABS(INDEX($Q$164:$Q$179,MATCH(LEFT(AB174,FIND("·",AB174)-1),$C$164:$C$179,0))-(VALUE(MID(AB174,FIND("|",AB174)+1,FIND("-",AB174,FIND("|",AB174))-FIND("|",AB174)-1))-VALUE(MID(AB174,FIND("-",AB174,FIND("|",AB174))+1,10)))))*$D$50),$D$17*(1-(IF(INDEX($D$164:$D$179,MATCH(LEFT(AB174,FIND("·",AB174)-1),$C$164:$C$179,0))=0,ABS(INDEX($A$164:$A$179,MATCH(LEFT(AB174,FIND("·",AB174)-1),$C$164:$C$179,0))-VALUE(MID(AB174,FIND("|",AB174)+1,FIND("-",AB174,FIND("|",AB174))-FIND("|",AB174)-1))),ABS(INDEX($Q$164:$Q$179,MATCH(LEFT(AB174,FIND("·",AB174)-1),$C$164:$C$179,0))-(VALUE(MID(AB174,FIND("|",AB174)+1,FIND("-",AB174,FIND("|",AB174))-FIND("|",AB174)-1))-VALUE(MID(AB174,FIND("-",AB174,FIND("|",AB174))+1,10)))))*$D$50)))))*INDEX($I$164:$I$179,MATCH(LEFT(AB174,FIND("·",AB174)-1),$C$164:$C$179,0)),0),0),0)</f>
        <v>0</v>
      </c>
      <c r="AD174" s="110"/>
      <c r="AE174" s="74" t="s">
        <v>2054</v>
      </c>
      <c r="AF174" s="77">
        <f ca="1">IFERROR(IF(COUNTIF($K$164:$K$179,LEFT(AE174,FIND("·",AE174)-1))&gt;0,IF(INDEX($L$164:$L$179,MATCH(LEFT(AE174,FIND("·",AE174)-1),$K$164:$K$179,0))=IFERROR(VALUE(MID(AE174,FIND("·",AE174)+1,1)),0),($D$16+(INDEX($M$164:$M$179,MATCH(LEFT(AE174,FIND("·",AE174)-1),$K$164:$K$179,0))=MID(AE174,FIND("|",AE174)+1,10))*$D$18+MAX(0,IF($D$50=1,$D$17*(1-(ABS(INDEX($P$164:$P$179,MATCH(LEFT(AE174,FIND("·",AE174)-1),$K$164:$K$179,0))-(VALUE(MID(AE174,FIND("|",AE174)+1,FIND("-",AE174,FIND("|",AE174))-FIND("|",AE174)-1))-VALUE(MID(AE174,FIND("-",AE174,FIND("|",AE174))+1,10)))))*$D$50),$D$17*(1-(IF(INDEX($L$164:$L$179,MATCH(LEFT(AE174,FIND("·",AE174)-1),$K$164:$K$179,0))=0,ABS(INDEX($N$164:$N$179,MATCH(LEFT(AE174,FIND("·",AE174)-1),$K$164:$K$179,0))-VALUE(MID(AE174,FIND("|",AE174)+1,FIND("-",AE174,FIND("|",AE174))-FIND("|",AE174)-1))),ABS(INDEX($P$164:$P$179,MATCH(LEFT(AE174,FIND("·",AE174)-1),$K$164:$K$179,0))-(VALUE(MID(AE174,FIND("|",AE174)+1,FIND("-",AE174,FIND("|",AE174))-FIND("|",AE174)-1))-VALUE(MID(AE174,FIND("-",AE174,FIND("|",AE174))+1,10)))))*$D$50)))))*INDEX($I$164:$I$179,MATCH(LEFT(AE174,FIND("·",AE174)-1),$K$164:$K$179,0)),0),0),0)+IFERROR(IF(COUNTIF($C$164:$C$179,LEFT(AE174,FIND("·",AE174)-1))&gt;0,IF(INDEX($D$164:$D$179,MATCH(LEFT(AE174,FIND("·",AE174)-1),$C$164:$C$179,0))=IFERROR(VALUE(MID(AE174,FIND("·",AE174)+1,1)),0),($D$16+(INDEX($E$164:$E$179,MATCH(LEFT(AE174,FIND("·",AE174)-1),$C$164:$C$179,0))=MID(AE174,FIND("|",AE174)+1,10))*$D$18+MAX(0,IF($D$50=1,$D$17*(1-(ABS(INDEX($Q$164:$Q$179,MATCH(LEFT(AE174,FIND("·",AE174)-1),$C$164:$C$179,0))-(VALUE(MID(AE174,FIND("|",AE174)+1,FIND("-",AE174,FIND("|",AE174))-FIND("|",AE174)-1))-VALUE(MID(AE174,FIND("-",AE174,FIND("|",AE174))+1,10)))))*$D$50),$D$17*(1-(IF(INDEX($D$164:$D$179,MATCH(LEFT(AE174,FIND("·",AE174)-1),$C$164:$C$179,0))=0,ABS(INDEX($A$164:$A$179,MATCH(LEFT(AE174,FIND("·",AE174)-1),$C$164:$C$179,0))-VALUE(MID(AE174,FIND("|",AE174)+1,FIND("-",AE174,FIND("|",AE174))-FIND("|",AE174)-1))),ABS(INDEX($Q$164:$Q$179,MATCH(LEFT(AE174,FIND("·",AE174)-1),$C$164:$C$179,0))-(VALUE(MID(AE174,FIND("|",AE174)+1,FIND("-",AE174,FIND("|",AE174))-FIND("|",AE174)-1))-VALUE(MID(AE174,FIND("-",AE174,FIND("|",AE174))+1,10)))))*$D$50)))))*INDEX($I$164:$I$179,MATCH(LEFT(AE174,FIND("·",AE174)-1),$C$164:$C$179,0)),0),0),0)</f>
        <v>0</v>
      </c>
      <c r="AG174" s="110"/>
      <c r="AH174" s="74" t="s">
        <v>2070</v>
      </c>
      <c r="AI174" s="77">
        <f t="shared" ca="1" si="437"/>
        <v>0</v>
      </c>
      <c r="AJ174" s="110"/>
      <c r="AK174" s="74" t="s">
        <v>1989</v>
      </c>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7"/>
        <v>0</v>
      </c>
      <c r="CL174" s="110"/>
      <c r="CM174" s="74"/>
      <c r="CN174" s="77">
        <f t="shared" ca="1" si="457"/>
        <v>0</v>
      </c>
      <c r="CO174" s="110"/>
      <c r="CP174" s="110"/>
    </row>
    <row r="175" spans="1:94">
      <c r="A175" s="25">
        <f>WORLDCUP!AD112</f>
        <v>0</v>
      </c>
      <c r="B175" s="25">
        <f>WORLDCUP!AC112</f>
        <v>0</v>
      </c>
      <c r="C175" s="25" t="str">
        <f ca="1">CONCATENATE(WORLDCUP!AF112,"-",WORLDCUP!AA112)</f>
        <v>Croacia-Portugal</v>
      </c>
      <c r="D175" s="25" t="str">
        <f>IF(WORLDCUP!AC112&gt;WORLDCUP!AD112,2,IF(WORLDCUP!AC112&lt;WORLDCUP!AD112,1,IF(AND(WORLDCUP!AC112=WORLDCUP!AD112,WORLDCUP!AC112&lt;&gt;"",WORLDCUP!AD112&lt;&gt;""),0,"PD")))</f>
        <v>PD</v>
      </c>
      <c r="E175" s="25" t="str">
        <f>IF(OR(WORLDCUP!AC112="",WORLDCUP!AD112=""),"-",A175&amp;"-"&amp;B175)</f>
        <v>-</v>
      </c>
      <c r="F175" s="407">
        <f t="shared" si="459"/>
        <v>8</v>
      </c>
      <c r="G175" s="407">
        <f ca="1">VLOOKUP(H175,Equipos!$Q$1:$R$25,2,0)</f>
        <v>20</v>
      </c>
      <c r="H175" s="446" t="str">
        <f>Idiomas!$D$260</f>
        <v>Dieciseisavos de final</v>
      </c>
      <c r="I175" s="43">
        <v>1</v>
      </c>
      <c r="J175" s="846"/>
      <c r="K175" s="56" t="str">
        <f ca="1">CONCATENATE(WORLDCUP!AA112,"-",WORLDCUP!AF112)</f>
        <v>Portugal-Croacia</v>
      </c>
      <c r="L175" s="53" t="str">
        <f>IF(OR(WORLDCUP!AC112="",WORLDCUP!AD112=""),"PD",IF(WORLDCUP!AC112&gt;WORLDCUP!AD112,1,IF(WORLDCUP!AC112&lt;WORLDCUP!AD112,2,0)))</f>
        <v>PD</v>
      </c>
      <c r="M175" s="55" t="str">
        <f t="shared" si="460"/>
        <v>-</v>
      </c>
      <c r="N175" s="25">
        <f>WORLDCUP!AC112</f>
        <v>0</v>
      </c>
      <c r="O175" s="25">
        <f>WORLDCUP!AD112</f>
        <v>0</v>
      </c>
      <c r="P175" s="25">
        <f t="shared" si="461"/>
        <v>0</v>
      </c>
      <c r="Q175" s="25">
        <f t="shared" si="462"/>
        <v>0</v>
      </c>
      <c r="R175" s="110"/>
      <c r="S175" s="74" t="s">
        <v>2018</v>
      </c>
      <c r="T175" s="77">
        <f t="shared" ca="1" si="463"/>
        <v>0</v>
      </c>
      <c r="U175" s="110"/>
      <c r="V175" s="74" t="s">
        <v>2042</v>
      </c>
      <c r="W175" s="77">
        <f t="shared" ca="1" si="437"/>
        <v>0</v>
      </c>
      <c r="X175" s="110"/>
      <c r="Y175" s="74" t="s">
        <v>1990</v>
      </c>
      <c r="Z175" s="77">
        <f t="shared" ca="1" si="437"/>
        <v>0</v>
      </c>
      <c r="AA175" s="110"/>
      <c r="AB175" s="74" t="s">
        <v>2095</v>
      </c>
      <c r="AC175" s="77">
        <f ca="1">IFERROR(IF(COUNTIF($K$164:$K$179,LEFT(AB175,FIND("·",AB175)-1))&gt;0,IF(INDEX($L$164:$L$179,MATCH(LEFT(AB175,FIND("·",AB175)-1),$K$164:$K$179,0))=IFERROR(VALUE(MID(AB175,FIND("·",AB175)+1,1)),0),($D$16+(INDEX($M$164:$M$179,MATCH(LEFT(AB175,FIND("·",AB175)-1),$K$164:$K$179,0))=MID(AB175,FIND("|",AB175)+1,10))*$D$18+MAX(0,IF($D$50=1,$D$17*(1-(ABS(INDEX($P$164:$P$179,MATCH(LEFT(AB175,FIND("·",AB175)-1),$K$164:$K$179,0))-(VALUE(MID(AB175,FIND("|",AB175)+1,FIND("-",AB175,FIND("|",AB175))-FIND("|",AB175)-1))-VALUE(MID(AB175,FIND("-",AB175,FIND("|",AB175))+1,10)))))*$D$50),$D$17*(1-(IF(INDEX($L$164:$L$179,MATCH(LEFT(AB175,FIND("·",AB175)-1),$K$164:$K$179,0))=0,ABS(INDEX($N$164:$N$179,MATCH(LEFT(AB175,FIND("·",AB175)-1),$K$164:$K$179,0))-VALUE(MID(AB175,FIND("|",AB175)+1,FIND("-",AB175,FIND("|",AB175))-FIND("|",AB175)-1))),ABS(INDEX($P$164:$P$179,MATCH(LEFT(AB175,FIND("·",AB175)-1),$K$164:$K$179,0))-(VALUE(MID(AB175,FIND("|",AB175)+1,FIND("-",AB175,FIND("|",AB175))-FIND("|",AB175)-1))-VALUE(MID(AB175,FIND("-",AB175,FIND("|",AB175))+1,10)))))*$D$50)))))*INDEX($I$164:$I$179,MATCH(LEFT(AB175,FIND("·",AB175)-1),$K$164:$K$179,0)),0),0),0)+IFERROR(IF(COUNTIF($C$164:$C$179,LEFT(AB175,FIND("·",AB175)-1))&gt;0,IF(INDEX($D$164:$D$179,MATCH(LEFT(AB175,FIND("·",AB175)-1),$C$164:$C$179,0))=IFERROR(VALUE(MID(AB175,FIND("·",AB175)+1,1)),0),($D$16+(INDEX($E$164:$E$179,MATCH(LEFT(AB175,FIND("·",AB175)-1),$C$164:$C$179,0))=MID(AB175,FIND("|",AB175)+1,10))*$D$18+MAX(0,IF($D$50=1,$D$17*(1-(ABS(INDEX($Q$164:$Q$179,MATCH(LEFT(AB175,FIND("·",AB175)-1),$C$164:$C$179,0))-(VALUE(MID(AB175,FIND("|",AB175)+1,FIND("-",AB175,FIND("|",AB175))-FIND("|",AB175)-1))-VALUE(MID(AB175,FIND("-",AB175,FIND("|",AB175))+1,10)))))*$D$50),$D$17*(1-(IF(INDEX($D$164:$D$179,MATCH(LEFT(AB175,FIND("·",AB175)-1),$C$164:$C$179,0))=0,ABS(INDEX($A$164:$A$179,MATCH(LEFT(AB175,FIND("·",AB175)-1),$C$164:$C$179,0))-VALUE(MID(AB175,FIND("|",AB175)+1,FIND("-",AB175,FIND("|",AB175))-FIND("|",AB175)-1))),ABS(INDEX($Q$164:$Q$179,MATCH(LEFT(AB175,FIND("·",AB175)-1),$C$164:$C$179,0))-(VALUE(MID(AB175,FIND("|",AB175)+1,FIND("-",AB175,FIND("|",AB175))-FIND("|",AB175)-1))-VALUE(MID(AB175,FIND("-",AB175,FIND("|",AB175))+1,10)))))*$D$50)))))*INDEX($I$164:$I$179,MATCH(LEFT(AB175,FIND("·",AB175)-1),$C$164:$C$179,0)),0),0),0)</f>
        <v>0</v>
      </c>
      <c r="AD175" s="110"/>
      <c r="AE175" s="74" t="s">
        <v>2055</v>
      </c>
      <c r="AF175" s="77">
        <f ca="1">IFERROR(IF(COUNTIF($K$164:$K$179,LEFT(AE175,FIND("·",AE175)-1))&gt;0,IF(INDEX($L$164:$L$179,MATCH(LEFT(AE175,FIND("·",AE175)-1),$K$164:$K$179,0))=IFERROR(VALUE(MID(AE175,FIND("·",AE175)+1,1)),0),($D$16+(INDEX($M$164:$M$179,MATCH(LEFT(AE175,FIND("·",AE175)-1),$K$164:$K$179,0))=MID(AE175,FIND("|",AE175)+1,10))*$D$18+MAX(0,IF($D$50=1,$D$17*(1-(ABS(INDEX($P$164:$P$179,MATCH(LEFT(AE175,FIND("·",AE175)-1),$K$164:$K$179,0))-(VALUE(MID(AE175,FIND("|",AE175)+1,FIND("-",AE175,FIND("|",AE175))-FIND("|",AE175)-1))-VALUE(MID(AE175,FIND("-",AE175,FIND("|",AE175))+1,10)))))*$D$50),$D$17*(1-(IF(INDEX($L$164:$L$179,MATCH(LEFT(AE175,FIND("·",AE175)-1),$K$164:$K$179,0))=0,ABS(INDEX($N$164:$N$179,MATCH(LEFT(AE175,FIND("·",AE175)-1),$K$164:$K$179,0))-VALUE(MID(AE175,FIND("|",AE175)+1,FIND("-",AE175,FIND("|",AE175))-FIND("|",AE175)-1))),ABS(INDEX($P$164:$P$179,MATCH(LEFT(AE175,FIND("·",AE175)-1),$K$164:$K$179,0))-(VALUE(MID(AE175,FIND("|",AE175)+1,FIND("-",AE175,FIND("|",AE175))-FIND("|",AE175)-1))-VALUE(MID(AE175,FIND("-",AE175,FIND("|",AE175))+1,10)))))*$D$50)))))*INDEX($I$164:$I$179,MATCH(LEFT(AE175,FIND("·",AE175)-1),$K$164:$K$179,0)),0),0),0)+IFERROR(IF(COUNTIF($C$164:$C$179,LEFT(AE175,FIND("·",AE175)-1))&gt;0,IF(INDEX($D$164:$D$179,MATCH(LEFT(AE175,FIND("·",AE175)-1),$C$164:$C$179,0))=IFERROR(VALUE(MID(AE175,FIND("·",AE175)+1,1)),0),($D$16+(INDEX($E$164:$E$179,MATCH(LEFT(AE175,FIND("·",AE175)-1),$C$164:$C$179,0))=MID(AE175,FIND("|",AE175)+1,10))*$D$18+MAX(0,IF($D$50=1,$D$17*(1-(ABS(INDEX($Q$164:$Q$179,MATCH(LEFT(AE175,FIND("·",AE175)-1),$C$164:$C$179,0))-(VALUE(MID(AE175,FIND("|",AE175)+1,FIND("-",AE175,FIND("|",AE175))-FIND("|",AE175)-1))-VALUE(MID(AE175,FIND("-",AE175,FIND("|",AE175))+1,10)))))*$D$50),$D$17*(1-(IF(INDEX($D$164:$D$179,MATCH(LEFT(AE175,FIND("·",AE175)-1),$C$164:$C$179,0))=0,ABS(INDEX($A$164:$A$179,MATCH(LEFT(AE175,FIND("·",AE175)-1),$C$164:$C$179,0))-VALUE(MID(AE175,FIND("|",AE175)+1,FIND("-",AE175,FIND("|",AE175))-FIND("|",AE175)-1))),ABS(INDEX($Q$164:$Q$179,MATCH(LEFT(AE175,FIND("·",AE175)-1),$C$164:$C$179,0))-(VALUE(MID(AE175,FIND("|",AE175)+1,FIND("-",AE175,FIND("|",AE175))-FIND("|",AE175)-1))-VALUE(MID(AE175,FIND("-",AE175,FIND("|",AE175))+1,10)))))*$D$50)))))*INDEX($I$164:$I$179,MATCH(LEFT(AE175,FIND("·",AE175)-1),$C$164:$C$179,0)),0),0),0)</f>
        <v>0</v>
      </c>
      <c r="AG175" s="110"/>
      <c r="AH175" s="74" t="s">
        <v>2018</v>
      </c>
      <c r="AI175" s="77">
        <f t="shared" ca="1" si="437"/>
        <v>0</v>
      </c>
      <c r="AJ175" s="110"/>
      <c r="AK175" s="74" t="s">
        <v>1990</v>
      </c>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7"/>
        <v>0</v>
      </c>
      <c r="CL175" s="110"/>
      <c r="CM175" s="74"/>
      <c r="CN175" s="77">
        <f t="shared" ca="1" si="457"/>
        <v>0</v>
      </c>
      <c r="CO175" s="110"/>
      <c r="CP175" s="110"/>
    </row>
    <row r="176" spans="1:94">
      <c r="A176" s="25">
        <f>WORLDCUP!AD113</f>
        <v>0</v>
      </c>
      <c r="B176" s="25">
        <f>WORLDCUP!AC113</f>
        <v>0</v>
      </c>
      <c r="C176" s="25" t="str">
        <f ca="1">CONCATENATE(WORLDCUP!AF113,"-",WORLDCUP!AA113)</f>
        <v>Argelia-Suiza</v>
      </c>
      <c r="D176" s="25" t="str">
        <f>IF(WORLDCUP!AC113&gt;WORLDCUP!AD113,2,IF(WORLDCUP!AC113&lt;WORLDCUP!AD113,1,IF(AND(WORLDCUP!AC113=WORLDCUP!AD113,WORLDCUP!AC113&lt;&gt;"",WORLDCUP!AD113&lt;&gt;""),0,"PD")))</f>
        <v>PD</v>
      </c>
      <c r="E176" s="25" t="str">
        <f>IF(OR(WORLDCUP!AC113="",WORLDCUP!AD113=""),"-",A176&amp;"-"&amp;B176)</f>
        <v>-</v>
      </c>
      <c r="F176" s="407">
        <f t="shared" si="459"/>
        <v>8</v>
      </c>
      <c r="G176" s="407">
        <f ca="1">VLOOKUP(H176,Equipos!$Q$1:$R$25,2,0)</f>
        <v>20</v>
      </c>
      <c r="H176" s="446" t="str">
        <f>Idiomas!$D$260</f>
        <v>Dieciseisavos de final</v>
      </c>
      <c r="I176" s="43">
        <v>1</v>
      </c>
      <c r="J176" s="846"/>
      <c r="K176" s="56" t="str">
        <f ca="1">CONCATENATE(WORLDCUP!AA113,"-",WORLDCUP!AF113)</f>
        <v>Suiza-Argelia</v>
      </c>
      <c r="L176" s="53" t="str">
        <f>IF(OR(WORLDCUP!AC113="",WORLDCUP!AD113=""),"PD",IF(WORLDCUP!AC113&gt;WORLDCUP!AD113,1,IF(WORLDCUP!AC113&lt;WORLDCUP!AD113,2,0)))</f>
        <v>PD</v>
      </c>
      <c r="M176" s="55" t="str">
        <f t="shared" si="460"/>
        <v>-</v>
      </c>
      <c r="N176" s="25">
        <f>WORLDCUP!AC113</f>
        <v>0</v>
      </c>
      <c r="O176" s="25">
        <f>WORLDCUP!AD113</f>
        <v>0</v>
      </c>
      <c r="P176" s="25">
        <f t="shared" si="461"/>
        <v>0</v>
      </c>
      <c r="Q176" s="25">
        <f t="shared" si="462"/>
        <v>0</v>
      </c>
      <c r="R176" s="110"/>
      <c r="S176" s="74" t="s">
        <v>2019</v>
      </c>
      <c r="T176" s="77">
        <f t="shared" ca="1" si="463"/>
        <v>0</v>
      </c>
      <c r="U176" s="110"/>
      <c r="V176" s="74" t="s">
        <v>2019</v>
      </c>
      <c r="W176" s="77">
        <f t="shared" ca="1" si="437"/>
        <v>0</v>
      </c>
      <c r="X176" s="110"/>
      <c r="Y176" s="74" t="s">
        <v>2075</v>
      </c>
      <c r="Z176" s="77">
        <f t="shared" ca="1" si="437"/>
        <v>0</v>
      </c>
      <c r="AA176" s="110"/>
      <c r="AB176" s="74" t="s">
        <v>2019</v>
      </c>
      <c r="AC176" s="77">
        <f ca="1">IFERROR(IF(COUNTIF($K$164:$K$179,LEFT(AB176,FIND("·",AB176)-1))&gt;0,IF(INDEX($L$164:$L$179,MATCH(LEFT(AB176,FIND("·",AB176)-1),$K$164:$K$179,0))=IFERROR(VALUE(MID(AB176,FIND("·",AB176)+1,1)),0),($D$16+(INDEX($M$164:$M$179,MATCH(LEFT(AB176,FIND("·",AB176)-1),$K$164:$K$179,0))=MID(AB176,FIND("|",AB176)+1,10))*$D$18+MAX(0,IF($D$50=1,$D$17*(1-(ABS(INDEX($P$164:$P$179,MATCH(LEFT(AB176,FIND("·",AB176)-1),$K$164:$K$179,0))-(VALUE(MID(AB176,FIND("|",AB176)+1,FIND("-",AB176,FIND("|",AB176))-FIND("|",AB176)-1))-VALUE(MID(AB176,FIND("-",AB176,FIND("|",AB176))+1,10)))))*$D$50),$D$17*(1-(IF(INDEX($L$164:$L$179,MATCH(LEFT(AB176,FIND("·",AB176)-1),$K$164:$K$179,0))=0,ABS(INDEX($N$164:$N$179,MATCH(LEFT(AB176,FIND("·",AB176)-1),$K$164:$K$179,0))-VALUE(MID(AB176,FIND("|",AB176)+1,FIND("-",AB176,FIND("|",AB176))-FIND("|",AB176)-1))),ABS(INDEX($P$164:$P$179,MATCH(LEFT(AB176,FIND("·",AB176)-1),$K$164:$K$179,0))-(VALUE(MID(AB176,FIND("|",AB176)+1,FIND("-",AB176,FIND("|",AB176))-FIND("|",AB176)-1))-VALUE(MID(AB176,FIND("-",AB176,FIND("|",AB176))+1,10)))))*$D$50)))))*INDEX($I$164:$I$179,MATCH(LEFT(AB176,FIND("·",AB176)-1),$K$164:$K$179,0)),0),0),0)+IFERROR(IF(COUNTIF($C$164:$C$179,LEFT(AB176,FIND("·",AB176)-1))&gt;0,IF(INDEX($D$164:$D$179,MATCH(LEFT(AB176,FIND("·",AB176)-1),$C$164:$C$179,0))=IFERROR(VALUE(MID(AB176,FIND("·",AB176)+1,1)),0),($D$16+(INDEX($E$164:$E$179,MATCH(LEFT(AB176,FIND("·",AB176)-1),$C$164:$C$179,0))=MID(AB176,FIND("|",AB176)+1,10))*$D$18+MAX(0,IF($D$50=1,$D$17*(1-(ABS(INDEX($Q$164:$Q$179,MATCH(LEFT(AB176,FIND("·",AB176)-1),$C$164:$C$179,0))-(VALUE(MID(AB176,FIND("|",AB176)+1,FIND("-",AB176,FIND("|",AB176))-FIND("|",AB176)-1))-VALUE(MID(AB176,FIND("-",AB176,FIND("|",AB176))+1,10)))))*$D$50),$D$17*(1-(IF(INDEX($D$164:$D$179,MATCH(LEFT(AB176,FIND("·",AB176)-1),$C$164:$C$179,0))=0,ABS(INDEX($A$164:$A$179,MATCH(LEFT(AB176,FIND("·",AB176)-1),$C$164:$C$179,0))-VALUE(MID(AB176,FIND("|",AB176)+1,FIND("-",AB176,FIND("|",AB176))-FIND("|",AB176)-1))),ABS(INDEX($Q$164:$Q$179,MATCH(LEFT(AB176,FIND("·",AB176)-1),$C$164:$C$179,0))-(VALUE(MID(AB176,FIND("|",AB176)+1,FIND("-",AB176,FIND("|",AB176))-FIND("|",AB176)-1))-VALUE(MID(AB176,FIND("-",AB176,FIND("|",AB176))+1,10)))))*$D$50)))))*INDEX($I$164:$I$179,MATCH(LEFT(AB176,FIND("·",AB176)-1),$C$164:$C$179,0)),0),0),0)</f>
        <v>0</v>
      </c>
      <c r="AD176" s="110"/>
      <c r="AE176" s="74" t="s">
        <v>2056</v>
      </c>
      <c r="AF176" s="77">
        <f ca="1">IFERROR(IF(COUNTIF($K$164:$K$179,LEFT(AE176,FIND("·",AE176)-1))&gt;0,IF(INDEX($L$164:$L$179,MATCH(LEFT(AE176,FIND("·",AE176)-1),$K$164:$K$179,0))=IFERROR(VALUE(MID(AE176,FIND("·",AE176)+1,1)),0),($D$16+(INDEX($M$164:$M$179,MATCH(LEFT(AE176,FIND("·",AE176)-1),$K$164:$K$179,0))=MID(AE176,FIND("|",AE176)+1,10))*$D$18+MAX(0,IF($D$50=1,$D$17*(1-(ABS(INDEX($P$164:$P$179,MATCH(LEFT(AE176,FIND("·",AE176)-1),$K$164:$K$179,0))-(VALUE(MID(AE176,FIND("|",AE176)+1,FIND("-",AE176,FIND("|",AE176))-FIND("|",AE176)-1))-VALUE(MID(AE176,FIND("-",AE176,FIND("|",AE176))+1,10)))))*$D$50),$D$17*(1-(IF(INDEX($L$164:$L$179,MATCH(LEFT(AE176,FIND("·",AE176)-1),$K$164:$K$179,0))=0,ABS(INDEX($N$164:$N$179,MATCH(LEFT(AE176,FIND("·",AE176)-1),$K$164:$K$179,0))-VALUE(MID(AE176,FIND("|",AE176)+1,FIND("-",AE176,FIND("|",AE176))-FIND("|",AE176)-1))),ABS(INDEX($P$164:$P$179,MATCH(LEFT(AE176,FIND("·",AE176)-1),$K$164:$K$179,0))-(VALUE(MID(AE176,FIND("|",AE176)+1,FIND("-",AE176,FIND("|",AE176))-FIND("|",AE176)-1))-VALUE(MID(AE176,FIND("-",AE176,FIND("|",AE176))+1,10)))))*$D$50)))))*INDEX($I$164:$I$179,MATCH(LEFT(AE176,FIND("·",AE176)-1),$K$164:$K$179,0)),0),0),0)+IFERROR(IF(COUNTIF($C$164:$C$179,LEFT(AE176,FIND("·",AE176)-1))&gt;0,IF(INDEX($D$164:$D$179,MATCH(LEFT(AE176,FIND("·",AE176)-1),$C$164:$C$179,0))=IFERROR(VALUE(MID(AE176,FIND("·",AE176)+1,1)),0),($D$16+(INDEX($E$164:$E$179,MATCH(LEFT(AE176,FIND("·",AE176)-1),$C$164:$C$179,0))=MID(AE176,FIND("|",AE176)+1,10))*$D$18+MAX(0,IF($D$50=1,$D$17*(1-(ABS(INDEX($Q$164:$Q$179,MATCH(LEFT(AE176,FIND("·",AE176)-1),$C$164:$C$179,0))-(VALUE(MID(AE176,FIND("|",AE176)+1,FIND("-",AE176,FIND("|",AE176))-FIND("|",AE176)-1))-VALUE(MID(AE176,FIND("-",AE176,FIND("|",AE176))+1,10)))))*$D$50),$D$17*(1-(IF(INDEX($D$164:$D$179,MATCH(LEFT(AE176,FIND("·",AE176)-1),$C$164:$C$179,0))=0,ABS(INDEX($A$164:$A$179,MATCH(LEFT(AE176,FIND("·",AE176)-1),$C$164:$C$179,0))-VALUE(MID(AE176,FIND("|",AE176)+1,FIND("-",AE176,FIND("|",AE176))-FIND("|",AE176)-1))),ABS(INDEX($Q$164:$Q$179,MATCH(LEFT(AE176,FIND("·",AE176)-1),$C$164:$C$179,0))-(VALUE(MID(AE176,FIND("|",AE176)+1,FIND("-",AE176,FIND("|",AE176))-FIND("|",AE176)-1))-VALUE(MID(AE176,FIND("-",AE176,FIND("|",AE176))+1,10)))))*$D$50)))))*INDEX($I$164:$I$179,MATCH(LEFT(AE176,FIND("·",AE176)-1),$C$164:$C$179,0)),0),0),0)</f>
        <v>0</v>
      </c>
      <c r="AG176" s="110"/>
      <c r="AH176" s="74" t="s">
        <v>1991</v>
      </c>
      <c r="AI176" s="77">
        <f t="shared" ca="1" si="437"/>
        <v>0</v>
      </c>
      <c r="AJ176" s="110"/>
      <c r="AK176" s="74" t="s">
        <v>1991</v>
      </c>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4"/>
        <v>0</v>
      </c>
      <c r="BK176" s="110"/>
      <c r="BL176" s="74"/>
      <c r="BM176" s="77">
        <f t="shared" ca="1" si="464"/>
        <v>0</v>
      </c>
      <c r="BN176" s="110"/>
      <c r="BO176" s="74"/>
      <c r="BP176" s="77">
        <f t="shared" ca="1" si="464"/>
        <v>0</v>
      </c>
      <c r="BQ176" s="110"/>
      <c r="BR176" s="74"/>
      <c r="BS176" s="77">
        <f t="shared" ca="1" si="464"/>
        <v>0</v>
      </c>
      <c r="BT176" s="110"/>
      <c r="BU176" s="74"/>
      <c r="BV176" s="77">
        <f t="shared" ca="1" si="464"/>
        <v>0</v>
      </c>
      <c r="BW176" s="110"/>
      <c r="BX176" s="74"/>
      <c r="BY176" s="77">
        <f t="shared" ca="1" si="464"/>
        <v>0</v>
      </c>
      <c r="BZ176" s="110"/>
      <c r="CA176" s="74"/>
      <c r="CB176" s="77">
        <f t="shared" ca="1" si="464"/>
        <v>0</v>
      </c>
      <c r="CC176" s="110"/>
      <c r="CD176" s="74"/>
      <c r="CE176" s="77">
        <f t="shared" ca="1" si="464"/>
        <v>0</v>
      </c>
      <c r="CF176" s="110"/>
      <c r="CG176" s="74"/>
      <c r="CH176" s="77">
        <f t="shared" ca="1" si="464"/>
        <v>0</v>
      </c>
      <c r="CI176" s="110"/>
      <c r="CJ176" s="74"/>
      <c r="CK176" s="77">
        <f t="shared" ca="1" si="464"/>
        <v>0</v>
      </c>
      <c r="CL176" s="110"/>
      <c r="CM176" s="74"/>
      <c r="CN176" s="77">
        <f t="shared" ca="1" si="464"/>
        <v>0</v>
      </c>
      <c r="CO176" s="110"/>
      <c r="CP176" s="110"/>
    </row>
    <row r="177" spans="1:94">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459"/>
        <v>8</v>
      </c>
      <c r="G177" s="407">
        <f ca="1">VLOOKUP(H177,Equipos!$Q$1:$R$25,2,0)</f>
        <v>20</v>
      </c>
      <c r="H177" s="446" t="str">
        <f>Idiomas!$D$260</f>
        <v>Dieciseisavos de final</v>
      </c>
      <c r="I177" s="43">
        <v>1</v>
      </c>
      <c r="J177" s="846"/>
      <c r="K177" s="56" t="str">
        <f ca="1">CONCATENATE(WORLDCUP!AA114,"-",WORLDCUP!AF114)</f>
        <v>Australia-Egipto</v>
      </c>
      <c r="L177" s="53" t="str">
        <f>IF(OR(WORLDCUP!AC114="",WORLDCUP!AD114=""),"PD",IF(WORLDCUP!AC114&gt;WORLDCUP!AD114,1,IF(WORLDCUP!AC114&lt;WORLDCUP!AD114,2,0)))</f>
        <v>PD</v>
      </c>
      <c r="M177" s="55" t="str">
        <f t="shared" si="460"/>
        <v>-</v>
      </c>
      <c r="N177" s="25">
        <f>WORLDCUP!AC114</f>
        <v>0</v>
      </c>
      <c r="O177" s="25">
        <f>WORLDCUP!AD114</f>
        <v>0</v>
      </c>
      <c r="P177" s="25">
        <f t="shared" si="461"/>
        <v>0</v>
      </c>
      <c r="Q177" s="25">
        <f t="shared" si="462"/>
        <v>0</v>
      </c>
      <c r="R177" s="110"/>
      <c r="S177" s="74" t="s">
        <v>2020</v>
      </c>
      <c r="T177" s="77">
        <f t="shared" ca="1" si="463"/>
        <v>0</v>
      </c>
      <c r="U177" s="110"/>
      <c r="V177" s="74" t="s">
        <v>2043</v>
      </c>
      <c r="W177" s="77">
        <f t="shared" ref="W177:CH179" ca="1" si="46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1992</v>
      </c>
      <c r="Z177" s="77">
        <f t="shared" ca="1" si="465"/>
        <v>0</v>
      </c>
      <c r="AA177" s="110"/>
      <c r="AB177" s="74" t="s">
        <v>1992</v>
      </c>
      <c r="AC177" s="77">
        <f ca="1">IFERROR(IF(COUNTIF($K$164:$K$179,LEFT(AB177,FIND("·",AB177)-1))&gt;0,IF(INDEX($L$164:$L$179,MATCH(LEFT(AB177,FIND("·",AB177)-1),$K$164:$K$179,0))=IFERROR(VALUE(MID(AB177,FIND("·",AB177)+1,1)),0),($D$16+(INDEX($M$164:$M$179,MATCH(LEFT(AB177,FIND("·",AB177)-1),$K$164:$K$179,0))=MID(AB177,FIND("|",AB177)+1,10))*$D$18+MAX(0,IF($D$50=1,$D$17*(1-(ABS(INDEX($P$164:$P$179,MATCH(LEFT(AB177,FIND("·",AB177)-1),$K$164:$K$179,0))-(VALUE(MID(AB177,FIND("|",AB177)+1,FIND("-",AB177,FIND("|",AB177))-FIND("|",AB177)-1))-VALUE(MID(AB177,FIND("-",AB177,FIND("|",AB177))+1,10)))))*$D$50),$D$17*(1-(IF(INDEX($L$164:$L$179,MATCH(LEFT(AB177,FIND("·",AB177)-1),$K$164:$K$179,0))=0,ABS(INDEX($N$164:$N$179,MATCH(LEFT(AB177,FIND("·",AB177)-1),$K$164:$K$179,0))-VALUE(MID(AB177,FIND("|",AB177)+1,FIND("-",AB177,FIND("|",AB177))-FIND("|",AB177)-1))),ABS(INDEX($P$164:$P$179,MATCH(LEFT(AB177,FIND("·",AB177)-1),$K$164:$K$179,0))-(VALUE(MID(AB177,FIND("|",AB177)+1,FIND("-",AB177,FIND("|",AB177))-FIND("|",AB177)-1))-VALUE(MID(AB177,FIND("-",AB177,FIND("|",AB177))+1,10)))))*$D$50)))))*INDEX($I$164:$I$179,MATCH(LEFT(AB177,FIND("·",AB177)-1),$K$164:$K$179,0)),0),0),0)+IFERROR(IF(COUNTIF($C$164:$C$179,LEFT(AB177,FIND("·",AB177)-1))&gt;0,IF(INDEX($D$164:$D$179,MATCH(LEFT(AB177,FIND("·",AB177)-1),$C$164:$C$179,0))=IFERROR(VALUE(MID(AB177,FIND("·",AB177)+1,1)),0),($D$16+(INDEX($E$164:$E$179,MATCH(LEFT(AB177,FIND("·",AB177)-1),$C$164:$C$179,0))=MID(AB177,FIND("|",AB177)+1,10))*$D$18+MAX(0,IF($D$50=1,$D$17*(1-(ABS(INDEX($Q$164:$Q$179,MATCH(LEFT(AB177,FIND("·",AB177)-1),$C$164:$C$179,0))-(VALUE(MID(AB177,FIND("|",AB177)+1,FIND("-",AB177,FIND("|",AB177))-FIND("|",AB177)-1))-VALUE(MID(AB177,FIND("-",AB177,FIND("|",AB177))+1,10)))))*$D$50),$D$17*(1-(IF(INDEX($D$164:$D$179,MATCH(LEFT(AB177,FIND("·",AB177)-1),$C$164:$C$179,0))=0,ABS(INDEX($A$164:$A$179,MATCH(LEFT(AB177,FIND("·",AB177)-1),$C$164:$C$179,0))-VALUE(MID(AB177,FIND("|",AB177)+1,FIND("-",AB177,FIND("|",AB177))-FIND("|",AB177)-1))),ABS(INDEX($Q$164:$Q$179,MATCH(LEFT(AB177,FIND("·",AB177)-1),$C$164:$C$179,0))-(VALUE(MID(AB177,FIND("|",AB177)+1,FIND("-",AB177,FIND("|",AB177))-FIND("|",AB177)-1))-VALUE(MID(AB177,FIND("-",AB177,FIND("|",AB177))+1,10)))))*$D$50)))))*INDEX($I$164:$I$179,MATCH(LEFT(AB177,FIND("·",AB177)-1),$C$164:$C$179,0)),0),0),0)</f>
        <v>0</v>
      </c>
      <c r="AD177" s="110"/>
      <c r="AE177" s="74" t="s">
        <v>2057</v>
      </c>
      <c r="AF177" s="77">
        <f ca="1">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110"/>
      <c r="AH177" s="74" t="s">
        <v>2020</v>
      </c>
      <c r="AI177" s="77">
        <f t="shared" ca="1" si="465"/>
        <v>0</v>
      </c>
      <c r="AJ177" s="110"/>
      <c r="AK177" s="74" t="s">
        <v>1992</v>
      </c>
      <c r="AL177" s="77">
        <f t="shared" ca="1" si="465"/>
        <v>0</v>
      </c>
      <c r="AM177" s="110"/>
      <c r="AN177" s="74"/>
      <c r="AO177" s="77">
        <f t="shared" ca="1" si="465"/>
        <v>0</v>
      </c>
      <c r="AP177" s="110"/>
      <c r="AQ177" s="74"/>
      <c r="AR177" s="77">
        <f t="shared" ca="1" si="465"/>
        <v>0</v>
      </c>
      <c r="AS177" s="110"/>
      <c r="AT177" s="74"/>
      <c r="AU177" s="77">
        <f t="shared" ca="1" si="465"/>
        <v>0</v>
      </c>
      <c r="AV177" s="110"/>
      <c r="AW177" s="74"/>
      <c r="AX177" s="77">
        <f t="shared" ca="1" si="465"/>
        <v>0</v>
      </c>
      <c r="AY177" s="110"/>
      <c r="AZ177" s="74"/>
      <c r="BA177" s="77">
        <f t="shared" ca="1" si="465"/>
        <v>0</v>
      </c>
      <c r="BB177" s="110"/>
      <c r="BC177" s="74"/>
      <c r="BD177" s="77">
        <f t="shared" ca="1" si="465"/>
        <v>0</v>
      </c>
      <c r="BE177" s="110"/>
      <c r="BF177" s="74"/>
      <c r="BG177" s="77">
        <f t="shared" ca="1" si="465"/>
        <v>0</v>
      </c>
      <c r="BH177" s="110"/>
      <c r="BI177" s="74"/>
      <c r="BJ177" s="77">
        <f t="shared" ca="1" si="465"/>
        <v>0</v>
      </c>
      <c r="BK177" s="110"/>
      <c r="BL177" s="74"/>
      <c r="BM177" s="77">
        <f t="shared" ca="1" si="465"/>
        <v>0</v>
      </c>
      <c r="BN177" s="110"/>
      <c r="BO177" s="74"/>
      <c r="BP177" s="77">
        <f t="shared" ca="1" si="465"/>
        <v>0</v>
      </c>
      <c r="BQ177" s="110"/>
      <c r="BR177" s="74"/>
      <c r="BS177" s="77">
        <f t="shared" ca="1" si="465"/>
        <v>0</v>
      </c>
      <c r="BT177" s="110"/>
      <c r="BU177" s="74"/>
      <c r="BV177" s="77">
        <f t="shared" ca="1" si="465"/>
        <v>0</v>
      </c>
      <c r="BW177" s="110"/>
      <c r="BX177" s="74"/>
      <c r="BY177" s="77">
        <f t="shared" ca="1" si="465"/>
        <v>0</v>
      </c>
      <c r="BZ177" s="110"/>
      <c r="CA177" s="74"/>
      <c r="CB177" s="77">
        <f t="shared" ca="1" si="465"/>
        <v>0</v>
      </c>
      <c r="CC177" s="110"/>
      <c r="CD177" s="74"/>
      <c r="CE177" s="77">
        <f t="shared" ca="1" si="465"/>
        <v>0</v>
      </c>
      <c r="CF177" s="110"/>
      <c r="CG177" s="74"/>
      <c r="CH177" s="77">
        <f t="shared" ca="1" si="465"/>
        <v>0</v>
      </c>
      <c r="CI177" s="110"/>
      <c r="CJ177" s="74"/>
      <c r="CK177" s="77">
        <f t="shared" ca="1" si="464"/>
        <v>0</v>
      </c>
      <c r="CL177" s="110"/>
      <c r="CM177" s="74"/>
      <c r="CN177" s="77">
        <f t="shared" ca="1" si="464"/>
        <v>0</v>
      </c>
      <c r="CO177" s="110"/>
      <c r="CP177" s="110"/>
    </row>
    <row r="178" spans="1:94">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459"/>
        <v>8</v>
      </c>
      <c r="G178" s="407">
        <f ca="1">VLOOKUP(H178,Equipos!$Q$1:$R$25,2,0)</f>
        <v>20</v>
      </c>
      <c r="H178" s="446" t="str">
        <f>Idiomas!$D$260</f>
        <v>Dieciseisavos de final</v>
      </c>
      <c r="I178" s="43">
        <v>1</v>
      </c>
      <c r="J178" s="846"/>
      <c r="K178" s="56" t="str">
        <f ca="1">CONCATENATE(WORLDCUP!AA115,"-",WORLDCUP!AF115)</f>
        <v>Argentina-Cabo Verde</v>
      </c>
      <c r="L178" s="53" t="str">
        <f>IF(OR(WORLDCUP!AC115="",WORLDCUP!AD115=""),"PD",IF(WORLDCUP!AC115&gt;WORLDCUP!AD115,1,IF(WORLDCUP!AC115&lt;WORLDCUP!AD115,2,0)))</f>
        <v>PD</v>
      </c>
      <c r="M178" s="55" t="str">
        <f t="shared" si="460"/>
        <v>-</v>
      </c>
      <c r="N178" s="25">
        <f>WORLDCUP!AC115</f>
        <v>0</v>
      </c>
      <c r="O178" s="25">
        <f>WORLDCUP!AD115</f>
        <v>0</v>
      </c>
      <c r="P178" s="25">
        <f t="shared" si="461"/>
        <v>0</v>
      </c>
      <c r="Q178" s="25">
        <f t="shared" si="462"/>
        <v>0</v>
      </c>
      <c r="R178" s="110"/>
      <c r="S178" s="74" t="s">
        <v>2021</v>
      </c>
      <c r="T178" s="77">
        <f t="shared" ca="1" si="463"/>
        <v>0</v>
      </c>
      <c r="U178" s="110"/>
      <c r="V178" s="74" t="s">
        <v>2044</v>
      </c>
      <c r="W178" s="77">
        <f t="shared" ca="1" si="465"/>
        <v>0</v>
      </c>
      <c r="X178" s="110"/>
      <c r="Y178" s="74" t="s">
        <v>1993</v>
      </c>
      <c r="Z178" s="77">
        <f t="shared" ca="1" si="465"/>
        <v>0</v>
      </c>
      <c r="AA178" s="110"/>
      <c r="AB178" s="74" t="s">
        <v>1993</v>
      </c>
      <c r="AC178" s="77">
        <f ca="1">IFERROR(IF(COUNTIF($K$164:$K$179,LEFT(AB178,FIND("·",AB178)-1))&gt;0,IF(INDEX($L$164:$L$179,MATCH(LEFT(AB178,FIND("·",AB178)-1),$K$164:$K$179,0))=IFERROR(VALUE(MID(AB178,FIND("·",AB178)+1,1)),0),($D$16+(INDEX($M$164:$M$179,MATCH(LEFT(AB178,FIND("·",AB178)-1),$K$164:$K$179,0))=MID(AB178,FIND("|",AB178)+1,10))*$D$18+MAX(0,IF($D$50=1,$D$17*(1-(ABS(INDEX($P$164:$P$179,MATCH(LEFT(AB178,FIND("·",AB178)-1),$K$164:$K$179,0))-(VALUE(MID(AB178,FIND("|",AB178)+1,FIND("-",AB178,FIND("|",AB178))-FIND("|",AB178)-1))-VALUE(MID(AB178,FIND("-",AB178,FIND("|",AB178))+1,10)))))*$D$50),$D$17*(1-(IF(INDEX($L$164:$L$179,MATCH(LEFT(AB178,FIND("·",AB178)-1),$K$164:$K$179,0))=0,ABS(INDEX($N$164:$N$179,MATCH(LEFT(AB178,FIND("·",AB178)-1),$K$164:$K$179,0))-VALUE(MID(AB178,FIND("|",AB178)+1,FIND("-",AB178,FIND("|",AB178))-FIND("|",AB178)-1))),ABS(INDEX($P$164:$P$179,MATCH(LEFT(AB178,FIND("·",AB178)-1),$K$164:$K$179,0))-(VALUE(MID(AB178,FIND("|",AB178)+1,FIND("-",AB178,FIND("|",AB178))-FIND("|",AB178)-1))-VALUE(MID(AB178,FIND("-",AB178,FIND("|",AB178))+1,10)))))*$D$50)))))*INDEX($I$164:$I$179,MATCH(LEFT(AB178,FIND("·",AB178)-1),$K$164:$K$179,0)),0),0),0)+IFERROR(IF(COUNTIF($C$164:$C$179,LEFT(AB178,FIND("·",AB178)-1))&gt;0,IF(INDEX($D$164:$D$179,MATCH(LEFT(AB178,FIND("·",AB178)-1),$C$164:$C$179,0))=IFERROR(VALUE(MID(AB178,FIND("·",AB178)+1,1)),0),($D$16+(INDEX($E$164:$E$179,MATCH(LEFT(AB178,FIND("·",AB178)-1),$C$164:$C$179,0))=MID(AB178,FIND("|",AB178)+1,10))*$D$18+MAX(0,IF($D$50=1,$D$17*(1-(ABS(INDEX($Q$164:$Q$179,MATCH(LEFT(AB178,FIND("·",AB178)-1),$C$164:$C$179,0))-(VALUE(MID(AB178,FIND("|",AB178)+1,FIND("-",AB178,FIND("|",AB178))-FIND("|",AB178)-1))-VALUE(MID(AB178,FIND("-",AB178,FIND("|",AB178))+1,10)))))*$D$50),$D$17*(1-(IF(INDEX($D$164:$D$179,MATCH(LEFT(AB178,FIND("·",AB178)-1),$C$164:$C$179,0))=0,ABS(INDEX($A$164:$A$179,MATCH(LEFT(AB178,FIND("·",AB178)-1),$C$164:$C$179,0))-VALUE(MID(AB178,FIND("|",AB178)+1,FIND("-",AB178,FIND("|",AB178))-FIND("|",AB178)-1))),ABS(INDEX($Q$164:$Q$179,MATCH(LEFT(AB178,FIND("·",AB178)-1),$C$164:$C$179,0))-(VALUE(MID(AB178,FIND("|",AB178)+1,FIND("-",AB178,FIND("|",AB178))-FIND("|",AB178)-1))-VALUE(MID(AB178,FIND("-",AB178,FIND("|",AB178))+1,10)))))*$D$50)))))*INDEX($I$164:$I$179,MATCH(LEFT(AB178,FIND("·",AB178)-1),$C$164:$C$179,0)),0),0),0)</f>
        <v>0</v>
      </c>
      <c r="AD178" s="110"/>
      <c r="AE178" s="74" t="s">
        <v>1993</v>
      </c>
      <c r="AF178" s="77">
        <f ca="1">IFERROR(IF(COUNTIF($K$164:$K$179,LEFT(AE178,FIND("·",AE178)-1))&gt;0,IF(INDEX($L$164:$L$179,MATCH(LEFT(AE178,FIND("·",AE178)-1),$K$164:$K$179,0))=IFERROR(VALUE(MID(AE178,FIND("·",AE178)+1,1)),0),($D$16+(INDEX($M$164:$M$179,MATCH(LEFT(AE178,FIND("·",AE178)-1),$K$164:$K$179,0))=MID(AE178,FIND("|",AE178)+1,10))*$D$18+MAX(0,IF($D$50=1,$D$17*(1-(ABS(INDEX($P$164:$P$179,MATCH(LEFT(AE178,FIND("·",AE178)-1),$K$164:$K$179,0))-(VALUE(MID(AE178,FIND("|",AE178)+1,FIND("-",AE178,FIND("|",AE178))-FIND("|",AE178)-1))-VALUE(MID(AE178,FIND("-",AE178,FIND("|",AE178))+1,10)))))*$D$50),$D$17*(1-(IF(INDEX($L$164:$L$179,MATCH(LEFT(AE178,FIND("·",AE178)-1),$K$164:$K$179,0))=0,ABS(INDEX($N$164:$N$179,MATCH(LEFT(AE178,FIND("·",AE178)-1),$K$164:$K$179,0))-VALUE(MID(AE178,FIND("|",AE178)+1,FIND("-",AE178,FIND("|",AE178))-FIND("|",AE178)-1))),ABS(INDEX($P$164:$P$179,MATCH(LEFT(AE178,FIND("·",AE178)-1),$K$164:$K$179,0))-(VALUE(MID(AE178,FIND("|",AE178)+1,FIND("-",AE178,FIND("|",AE178))-FIND("|",AE178)-1))-VALUE(MID(AE178,FIND("-",AE178,FIND("|",AE178))+1,10)))))*$D$50)))))*INDEX($I$164:$I$179,MATCH(LEFT(AE178,FIND("·",AE178)-1),$K$164:$K$179,0)),0),0),0)+IFERROR(IF(COUNTIF($C$164:$C$179,LEFT(AE178,FIND("·",AE178)-1))&gt;0,IF(INDEX($D$164:$D$179,MATCH(LEFT(AE178,FIND("·",AE178)-1),$C$164:$C$179,0))=IFERROR(VALUE(MID(AE178,FIND("·",AE178)+1,1)),0),($D$16+(INDEX($E$164:$E$179,MATCH(LEFT(AE178,FIND("·",AE178)-1),$C$164:$C$179,0))=MID(AE178,FIND("|",AE178)+1,10))*$D$18+MAX(0,IF($D$50=1,$D$17*(1-(ABS(INDEX($Q$164:$Q$179,MATCH(LEFT(AE178,FIND("·",AE178)-1),$C$164:$C$179,0))-(VALUE(MID(AE178,FIND("|",AE178)+1,FIND("-",AE178,FIND("|",AE178))-FIND("|",AE178)-1))-VALUE(MID(AE178,FIND("-",AE178,FIND("|",AE178))+1,10)))))*$D$50),$D$17*(1-(IF(INDEX($D$164:$D$179,MATCH(LEFT(AE178,FIND("·",AE178)-1),$C$164:$C$179,0))=0,ABS(INDEX($A$164:$A$179,MATCH(LEFT(AE178,FIND("·",AE178)-1),$C$164:$C$179,0))-VALUE(MID(AE178,FIND("|",AE178)+1,FIND("-",AE178,FIND("|",AE178))-FIND("|",AE178)-1))),ABS(INDEX($Q$164:$Q$179,MATCH(LEFT(AE178,FIND("·",AE178)-1),$C$164:$C$179,0))-(VALUE(MID(AE178,FIND("|",AE178)+1,FIND("-",AE178,FIND("|",AE178))-FIND("|",AE178)-1))-VALUE(MID(AE178,FIND("-",AE178,FIND("|",AE178))+1,10)))))*$D$50)))))*INDEX($I$164:$I$179,MATCH(LEFT(AE178,FIND("·",AE178)-1),$C$164:$C$179,0)),0),0),0)</f>
        <v>0</v>
      </c>
      <c r="AG178" s="110"/>
      <c r="AH178" s="74" t="s">
        <v>2021</v>
      </c>
      <c r="AI178" s="77">
        <f t="shared" ca="1" si="465"/>
        <v>0</v>
      </c>
      <c r="AJ178" s="110"/>
      <c r="AK178" s="74" t="s">
        <v>1993</v>
      </c>
      <c r="AL178" s="77">
        <f t="shared" ca="1" si="465"/>
        <v>0</v>
      </c>
      <c r="AM178" s="110"/>
      <c r="AN178" s="74"/>
      <c r="AO178" s="77">
        <f t="shared" ca="1" si="465"/>
        <v>0</v>
      </c>
      <c r="AP178" s="110"/>
      <c r="AQ178" s="74"/>
      <c r="AR178" s="77">
        <f t="shared" ca="1" si="465"/>
        <v>0</v>
      </c>
      <c r="AS178" s="110"/>
      <c r="AT178" s="74"/>
      <c r="AU178" s="77">
        <f t="shared" ca="1" si="465"/>
        <v>0</v>
      </c>
      <c r="AV178" s="110"/>
      <c r="AW178" s="74"/>
      <c r="AX178" s="77">
        <f t="shared" ca="1" si="465"/>
        <v>0</v>
      </c>
      <c r="AY178" s="110"/>
      <c r="AZ178" s="74"/>
      <c r="BA178" s="77">
        <f t="shared" ca="1" si="465"/>
        <v>0</v>
      </c>
      <c r="BB178" s="110"/>
      <c r="BC178" s="74"/>
      <c r="BD178" s="77">
        <f t="shared" ca="1" si="465"/>
        <v>0</v>
      </c>
      <c r="BE178" s="110"/>
      <c r="BF178" s="74"/>
      <c r="BG178" s="77">
        <f t="shared" ca="1" si="465"/>
        <v>0</v>
      </c>
      <c r="BH178" s="110"/>
      <c r="BI178" s="74"/>
      <c r="BJ178" s="77">
        <f t="shared" ca="1" si="465"/>
        <v>0</v>
      </c>
      <c r="BK178" s="110"/>
      <c r="BL178" s="74"/>
      <c r="BM178" s="77">
        <f t="shared" ca="1" si="465"/>
        <v>0</v>
      </c>
      <c r="BN178" s="110"/>
      <c r="BO178" s="74"/>
      <c r="BP178" s="77">
        <f t="shared" ca="1" si="465"/>
        <v>0</v>
      </c>
      <c r="BQ178" s="110"/>
      <c r="BR178" s="74"/>
      <c r="BS178" s="77">
        <f t="shared" ca="1" si="465"/>
        <v>0</v>
      </c>
      <c r="BT178" s="110"/>
      <c r="BU178" s="74"/>
      <c r="BV178" s="77">
        <f t="shared" ca="1" si="465"/>
        <v>0</v>
      </c>
      <c r="BW178" s="110"/>
      <c r="BX178" s="74"/>
      <c r="BY178" s="77">
        <f t="shared" ca="1" si="465"/>
        <v>0</v>
      </c>
      <c r="BZ178" s="110"/>
      <c r="CA178" s="74"/>
      <c r="CB178" s="77">
        <f t="shared" ca="1" si="465"/>
        <v>0</v>
      </c>
      <c r="CC178" s="110"/>
      <c r="CD178" s="74"/>
      <c r="CE178" s="77">
        <f t="shared" ca="1" si="465"/>
        <v>0</v>
      </c>
      <c r="CF178" s="110"/>
      <c r="CG178" s="74"/>
      <c r="CH178" s="77">
        <f t="shared" ca="1" si="465"/>
        <v>0</v>
      </c>
      <c r="CI178" s="110"/>
      <c r="CJ178" s="74"/>
      <c r="CK178" s="77">
        <f t="shared" ca="1" si="464"/>
        <v>0</v>
      </c>
      <c r="CL178" s="110"/>
      <c r="CM178" s="74"/>
      <c r="CN178" s="77">
        <f t="shared" ca="1" si="464"/>
        <v>0</v>
      </c>
      <c r="CO178" s="110"/>
      <c r="CP178" s="110"/>
    </row>
    <row r="179" spans="1:94">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459"/>
        <v>8</v>
      </c>
      <c r="G179" s="407">
        <f ca="1">VLOOKUP(H179,Equipos!$Q$1:$R$25,2,0)</f>
        <v>20</v>
      </c>
      <c r="H179" s="446" t="str">
        <f>Idiomas!$D$260</f>
        <v>Dieciseisavos de final</v>
      </c>
      <c r="I179" s="43">
        <v>1</v>
      </c>
      <c r="J179" s="846"/>
      <c r="K179" s="115" t="str">
        <f ca="1">CONCATENATE(WORLDCUP!AA116,"-",WORLDCUP!AF116)</f>
        <v>Colombia-Ghana</v>
      </c>
      <c r="L179" s="115" t="str">
        <f>IF(OR(WORLDCUP!AC116="",WORLDCUP!AD116=""),"PD",IF(WORLDCUP!AC116&gt;WORLDCUP!AD116,1,IF(WORLDCUP!AC116&lt;WORLDCUP!AD116,2,0)))</f>
        <v>PD</v>
      </c>
      <c r="M179" s="116" t="str">
        <f t="shared" si="460"/>
        <v>-</v>
      </c>
      <c r="N179" s="25">
        <f>WORLDCUP!AC116</f>
        <v>0</v>
      </c>
      <c r="O179" s="25">
        <f>WORLDCUP!AD116</f>
        <v>0</v>
      </c>
      <c r="P179" s="25">
        <f t="shared" si="461"/>
        <v>0</v>
      </c>
      <c r="Q179" s="25">
        <f t="shared" si="462"/>
        <v>0</v>
      </c>
      <c r="R179" s="110"/>
      <c r="S179" s="80" t="s">
        <v>2022</v>
      </c>
      <c r="T179" s="81">
        <f t="shared" ca="1" si="463"/>
        <v>0</v>
      </c>
      <c r="U179" s="110"/>
      <c r="V179" s="80" t="s">
        <v>2045</v>
      </c>
      <c r="W179" s="81">
        <f t="shared" ca="1" si="465"/>
        <v>0</v>
      </c>
      <c r="X179" s="110"/>
      <c r="Y179" s="80" t="s">
        <v>1994</v>
      </c>
      <c r="Z179" s="81">
        <f t="shared" ca="1" si="465"/>
        <v>0</v>
      </c>
      <c r="AA179" s="110"/>
      <c r="AB179" s="80" t="s">
        <v>2022</v>
      </c>
      <c r="AC179" s="81">
        <f ca="1">IFERROR(IF(COUNTIF($K$164:$K$179,LEFT(AB179,FIND("·",AB179)-1))&gt;0,IF(INDEX($L$164:$L$179,MATCH(LEFT(AB179,FIND("·",AB179)-1),$K$164:$K$179,0))=IFERROR(VALUE(MID(AB179,FIND("·",AB179)+1,1)),0),($D$16+(INDEX($M$164:$M$179,MATCH(LEFT(AB179,FIND("·",AB179)-1),$K$164:$K$179,0))=MID(AB179,FIND("|",AB179)+1,10))*$D$18+MAX(0,IF($D$50=1,$D$17*(1-(ABS(INDEX($P$164:$P$179,MATCH(LEFT(AB179,FIND("·",AB179)-1),$K$164:$K$179,0))-(VALUE(MID(AB179,FIND("|",AB179)+1,FIND("-",AB179,FIND("|",AB179))-FIND("|",AB179)-1))-VALUE(MID(AB179,FIND("-",AB179,FIND("|",AB179))+1,10)))))*$D$50),$D$17*(1-(IF(INDEX($L$164:$L$179,MATCH(LEFT(AB179,FIND("·",AB179)-1),$K$164:$K$179,0))=0,ABS(INDEX($N$164:$N$179,MATCH(LEFT(AB179,FIND("·",AB179)-1),$K$164:$K$179,0))-VALUE(MID(AB179,FIND("|",AB179)+1,FIND("-",AB179,FIND("|",AB179))-FIND("|",AB179)-1))),ABS(INDEX($P$164:$P$179,MATCH(LEFT(AB179,FIND("·",AB179)-1),$K$164:$K$179,0))-(VALUE(MID(AB179,FIND("|",AB179)+1,FIND("-",AB179,FIND("|",AB179))-FIND("|",AB179)-1))-VALUE(MID(AB179,FIND("-",AB179,FIND("|",AB179))+1,10)))))*$D$50)))))*INDEX($I$164:$I$179,MATCH(LEFT(AB179,FIND("·",AB179)-1),$K$164:$K$179,0)),0),0),0)+IFERROR(IF(COUNTIF($C$164:$C$179,LEFT(AB179,FIND("·",AB179)-1))&gt;0,IF(INDEX($D$164:$D$179,MATCH(LEFT(AB179,FIND("·",AB179)-1),$C$164:$C$179,0))=IFERROR(VALUE(MID(AB179,FIND("·",AB179)+1,1)),0),($D$16+(INDEX($E$164:$E$179,MATCH(LEFT(AB179,FIND("·",AB179)-1),$C$164:$C$179,0))=MID(AB179,FIND("|",AB179)+1,10))*$D$18+MAX(0,IF($D$50=1,$D$17*(1-(ABS(INDEX($Q$164:$Q$179,MATCH(LEFT(AB179,FIND("·",AB179)-1),$C$164:$C$179,0))-(VALUE(MID(AB179,FIND("|",AB179)+1,FIND("-",AB179,FIND("|",AB179))-FIND("|",AB179)-1))-VALUE(MID(AB179,FIND("-",AB179,FIND("|",AB179))+1,10)))))*$D$50),$D$17*(1-(IF(INDEX($D$164:$D$179,MATCH(LEFT(AB179,FIND("·",AB179)-1),$C$164:$C$179,0))=0,ABS(INDEX($A$164:$A$179,MATCH(LEFT(AB179,FIND("·",AB179)-1),$C$164:$C$179,0))-VALUE(MID(AB179,FIND("|",AB179)+1,FIND("-",AB179,FIND("|",AB179))-FIND("|",AB179)-1))),ABS(INDEX($Q$164:$Q$179,MATCH(LEFT(AB179,FIND("·",AB179)-1),$C$164:$C$179,0))-(VALUE(MID(AB179,FIND("|",AB179)+1,FIND("-",AB179,FIND("|",AB179))-FIND("|",AB179)-1))-VALUE(MID(AB179,FIND("-",AB179,FIND("|",AB179))+1,10)))))*$D$50)))))*INDEX($I$164:$I$179,MATCH(LEFT(AB179,FIND("·",AB179)-1),$C$164:$C$179,0)),0),0),0)</f>
        <v>0</v>
      </c>
      <c r="AD179" s="110"/>
      <c r="AE179" s="80" t="s">
        <v>2045</v>
      </c>
      <c r="AF179" s="81">
        <f ca="1">IFERROR(IF(COUNTIF($K$164:$K$179,LEFT(AE179,FIND("·",AE179)-1))&gt;0,IF(INDEX($L$164:$L$179,MATCH(LEFT(AE179,FIND("·",AE179)-1),$K$164:$K$179,0))=IFERROR(VALUE(MID(AE179,FIND("·",AE179)+1,1)),0),($D$16+(INDEX($M$164:$M$179,MATCH(LEFT(AE179,FIND("·",AE179)-1),$K$164:$K$179,0))=MID(AE179,FIND("|",AE179)+1,10))*$D$18+MAX(0,IF($D$50=1,$D$17*(1-(ABS(INDEX($P$164:$P$179,MATCH(LEFT(AE179,FIND("·",AE179)-1),$K$164:$K$179,0))-(VALUE(MID(AE179,FIND("|",AE179)+1,FIND("-",AE179,FIND("|",AE179))-FIND("|",AE179)-1))-VALUE(MID(AE179,FIND("-",AE179,FIND("|",AE179))+1,10)))))*$D$50),$D$17*(1-(IF(INDEX($L$164:$L$179,MATCH(LEFT(AE179,FIND("·",AE179)-1),$K$164:$K$179,0))=0,ABS(INDEX($N$164:$N$179,MATCH(LEFT(AE179,FIND("·",AE179)-1),$K$164:$K$179,0))-VALUE(MID(AE179,FIND("|",AE179)+1,FIND("-",AE179,FIND("|",AE179))-FIND("|",AE179)-1))),ABS(INDEX($P$164:$P$179,MATCH(LEFT(AE179,FIND("·",AE179)-1),$K$164:$K$179,0))-(VALUE(MID(AE179,FIND("|",AE179)+1,FIND("-",AE179,FIND("|",AE179))-FIND("|",AE179)-1))-VALUE(MID(AE179,FIND("-",AE179,FIND("|",AE179))+1,10)))))*$D$50)))))*INDEX($I$164:$I$179,MATCH(LEFT(AE179,FIND("·",AE179)-1),$K$164:$K$179,0)),0),0),0)+IFERROR(IF(COUNTIF($C$164:$C$179,LEFT(AE179,FIND("·",AE179)-1))&gt;0,IF(INDEX($D$164:$D$179,MATCH(LEFT(AE179,FIND("·",AE179)-1),$C$164:$C$179,0))=IFERROR(VALUE(MID(AE179,FIND("·",AE179)+1,1)),0),($D$16+(INDEX($E$164:$E$179,MATCH(LEFT(AE179,FIND("·",AE179)-1),$C$164:$C$179,0))=MID(AE179,FIND("|",AE179)+1,10))*$D$18+MAX(0,IF($D$50=1,$D$17*(1-(ABS(INDEX($Q$164:$Q$179,MATCH(LEFT(AE179,FIND("·",AE179)-1),$C$164:$C$179,0))-(VALUE(MID(AE179,FIND("|",AE179)+1,FIND("-",AE179,FIND("|",AE179))-FIND("|",AE179)-1))-VALUE(MID(AE179,FIND("-",AE179,FIND("|",AE179))+1,10)))))*$D$50),$D$17*(1-(IF(INDEX($D$164:$D$179,MATCH(LEFT(AE179,FIND("·",AE179)-1),$C$164:$C$179,0))=0,ABS(INDEX($A$164:$A$179,MATCH(LEFT(AE179,FIND("·",AE179)-1),$C$164:$C$179,0))-VALUE(MID(AE179,FIND("|",AE179)+1,FIND("-",AE179,FIND("|",AE179))-FIND("|",AE179)-1))),ABS(INDEX($Q$164:$Q$179,MATCH(LEFT(AE179,FIND("·",AE179)-1),$C$164:$C$179,0))-(VALUE(MID(AE179,FIND("|",AE179)+1,FIND("-",AE179,FIND("|",AE179))-FIND("|",AE179)-1))-VALUE(MID(AE179,FIND("-",AE179,FIND("|",AE179))+1,10)))))*$D$50)))))*INDEX($I$164:$I$179,MATCH(LEFT(AE179,FIND("·",AE179)-1),$C$164:$C$179,0)),0),0),0)</f>
        <v>0</v>
      </c>
      <c r="AG179" s="110"/>
      <c r="AH179" s="80" t="s">
        <v>2045</v>
      </c>
      <c r="AI179" s="81">
        <f t="shared" ca="1" si="465"/>
        <v>0</v>
      </c>
      <c r="AJ179" s="110"/>
      <c r="AK179" s="80" t="s">
        <v>1994</v>
      </c>
      <c r="AL179" s="81">
        <f t="shared" ca="1" si="465"/>
        <v>0</v>
      </c>
      <c r="AM179" s="110"/>
      <c r="AN179" s="80"/>
      <c r="AO179" s="81">
        <f t="shared" ca="1" si="465"/>
        <v>0</v>
      </c>
      <c r="AP179" s="110"/>
      <c r="AQ179" s="80"/>
      <c r="AR179" s="81">
        <f t="shared" ca="1" si="465"/>
        <v>0</v>
      </c>
      <c r="AS179" s="110"/>
      <c r="AT179" s="80"/>
      <c r="AU179" s="81">
        <f t="shared" ca="1" si="465"/>
        <v>0</v>
      </c>
      <c r="AV179" s="110"/>
      <c r="AW179" s="80"/>
      <c r="AX179" s="81">
        <f t="shared" ca="1" si="465"/>
        <v>0</v>
      </c>
      <c r="AY179" s="110"/>
      <c r="AZ179" s="80"/>
      <c r="BA179" s="81">
        <f t="shared" ca="1" si="465"/>
        <v>0</v>
      </c>
      <c r="BB179" s="110"/>
      <c r="BC179" s="80"/>
      <c r="BD179" s="81">
        <f t="shared" ca="1" si="465"/>
        <v>0</v>
      </c>
      <c r="BE179" s="110"/>
      <c r="BF179" s="80"/>
      <c r="BG179" s="81">
        <f t="shared" ca="1" si="465"/>
        <v>0</v>
      </c>
      <c r="BH179" s="110"/>
      <c r="BI179" s="80"/>
      <c r="BJ179" s="81">
        <f t="shared" ca="1" si="465"/>
        <v>0</v>
      </c>
      <c r="BK179" s="110"/>
      <c r="BL179" s="80"/>
      <c r="BM179" s="81">
        <f t="shared" ca="1" si="465"/>
        <v>0</v>
      </c>
      <c r="BN179" s="110"/>
      <c r="BO179" s="80"/>
      <c r="BP179" s="81">
        <f t="shared" ca="1" si="465"/>
        <v>0</v>
      </c>
      <c r="BQ179" s="110"/>
      <c r="BR179" s="80"/>
      <c r="BS179" s="81">
        <f t="shared" ca="1" si="465"/>
        <v>0</v>
      </c>
      <c r="BT179" s="110"/>
      <c r="BU179" s="80"/>
      <c r="BV179" s="81">
        <f t="shared" ca="1" si="465"/>
        <v>0</v>
      </c>
      <c r="BW179" s="110"/>
      <c r="BX179" s="80"/>
      <c r="BY179" s="81">
        <f t="shared" ca="1" si="465"/>
        <v>0</v>
      </c>
      <c r="BZ179" s="110"/>
      <c r="CA179" s="80"/>
      <c r="CB179" s="81">
        <f t="shared" ca="1" si="465"/>
        <v>0</v>
      </c>
      <c r="CC179" s="110"/>
      <c r="CD179" s="80"/>
      <c r="CE179" s="81">
        <f t="shared" ca="1" si="465"/>
        <v>0</v>
      </c>
      <c r="CF179" s="110"/>
      <c r="CG179" s="80"/>
      <c r="CH179" s="81">
        <f t="shared" ca="1" si="465"/>
        <v>0</v>
      </c>
      <c r="CI179" s="110"/>
      <c r="CJ179" s="80"/>
      <c r="CK179" s="81">
        <f t="shared" ca="1" si="464"/>
        <v>0</v>
      </c>
      <c r="CL179" s="110"/>
      <c r="CM179" s="80"/>
      <c r="CN179" s="81">
        <f t="shared" ca="1" si="464"/>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128</v>
      </c>
      <c r="N180" s="25"/>
      <c r="O180" s="25"/>
      <c r="P180" s="25"/>
      <c r="Q180" s="25"/>
      <c r="R180" s="49"/>
      <c r="S180" s="84"/>
      <c r="T180" s="71">
        <f ca="1">SUM(T164:T179)</f>
        <v>2</v>
      </c>
      <c r="U180" s="65"/>
      <c r="V180" s="84"/>
      <c r="W180" s="71">
        <f t="shared" ref="W180" ca="1" si="466">SUM(W164:W179)</f>
        <v>4</v>
      </c>
      <c r="X180" s="65"/>
      <c r="Y180" s="84"/>
      <c r="Z180" s="71">
        <f t="shared" ref="Z180" ca="1" si="467">SUM(Z164:Z179)</f>
        <v>2</v>
      </c>
      <c r="AA180" s="65"/>
      <c r="AB180" s="84"/>
      <c r="AC180" s="71">
        <f t="shared" ref="AC180" ca="1" si="468">SUM(AC164:AC179)</f>
        <v>2</v>
      </c>
      <c r="AD180" s="65"/>
      <c r="AE180" s="84"/>
      <c r="AF180" s="71">
        <f t="shared" ref="AF180" ca="1" si="469">SUM(AF164:AF179)</f>
        <v>2</v>
      </c>
      <c r="AG180" s="65"/>
      <c r="AH180" s="84"/>
      <c r="AI180" s="71">
        <f t="shared" ref="AI180" ca="1" si="470">SUM(AI164:AI179)</f>
        <v>2</v>
      </c>
      <c r="AJ180" s="65"/>
      <c r="AK180" s="84"/>
      <c r="AL180" s="71">
        <f t="shared" ref="AL180" ca="1" si="471">SUM(AL164:AL179)</f>
        <v>2</v>
      </c>
      <c r="AM180" s="65"/>
      <c r="AN180" s="84"/>
      <c r="AO180" s="71">
        <f t="shared" ref="AO180" ca="1" si="472">SUM(AO164:AO179)</f>
        <v>0</v>
      </c>
      <c r="AP180" s="65"/>
      <c r="AQ180" s="84"/>
      <c r="AR180" s="71">
        <f t="shared" ref="AR180" ca="1" si="473">SUM(AR164:AR179)</f>
        <v>0</v>
      </c>
      <c r="AS180" s="65"/>
      <c r="AT180" s="84"/>
      <c r="AU180" s="71">
        <f t="shared" ref="AU180" ca="1" si="474">SUM(AU164:AU179)</f>
        <v>0</v>
      </c>
      <c r="AV180" s="65"/>
      <c r="AW180" s="84"/>
      <c r="AX180" s="71">
        <f t="shared" ref="AX180" ca="1" si="475">SUM(AX164:AX179)</f>
        <v>0</v>
      </c>
      <c r="AY180" s="65"/>
      <c r="AZ180" s="84"/>
      <c r="BA180" s="71">
        <f t="shared" ref="BA180" ca="1" si="476">SUM(BA164:BA179)</f>
        <v>0</v>
      </c>
      <c r="BB180" s="65"/>
      <c r="BC180" s="84"/>
      <c r="BD180" s="71">
        <f t="shared" ref="BD180" ca="1" si="477">SUM(BD164:BD179)</f>
        <v>0</v>
      </c>
      <c r="BE180" s="65"/>
      <c r="BF180" s="84"/>
      <c r="BG180" s="71">
        <f t="shared" ref="BG180" ca="1" si="478">SUM(BG164:BG179)</f>
        <v>0</v>
      </c>
      <c r="BH180" s="65"/>
      <c r="BI180" s="84"/>
      <c r="BJ180" s="71">
        <f t="shared" ref="BJ180" ca="1" si="479">SUM(BJ164:BJ179)</f>
        <v>0</v>
      </c>
      <c r="BK180" s="65"/>
      <c r="BL180" s="84"/>
      <c r="BM180" s="71">
        <f t="shared" ref="BM180" ca="1" si="480">SUM(BM164:BM179)</f>
        <v>0</v>
      </c>
      <c r="BN180" s="65"/>
      <c r="BO180" s="84"/>
      <c r="BP180" s="71">
        <f t="shared" ref="BP180" ca="1" si="481">SUM(BP164:BP179)</f>
        <v>0</v>
      </c>
      <c r="BQ180" s="65"/>
      <c r="BR180" s="84"/>
      <c r="BS180" s="71">
        <f t="shared" ref="BS180" ca="1" si="482">SUM(BS164:BS179)</f>
        <v>0</v>
      </c>
      <c r="BT180" s="65"/>
      <c r="BU180" s="84"/>
      <c r="BV180" s="71">
        <f t="shared" ref="BV180" ca="1" si="483">SUM(BV164:BV179)</f>
        <v>0</v>
      </c>
      <c r="BW180" s="65"/>
      <c r="BX180" s="84"/>
      <c r="BY180" s="71">
        <f t="shared" ref="BY180" ca="1" si="484">SUM(BY164:BY179)</f>
        <v>0</v>
      </c>
      <c r="BZ180" s="65"/>
      <c r="CA180" s="84"/>
      <c r="CB180" s="71">
        <f t="shared" ref="CB180" ca="1" si="485">SUM(CB164:CB179)</f>
        <v>0</v>
      </c>
      <c r="CC180" s="65"/>
      <c r="CD180" s="84"/>
      <c r="CE180" s="71">
        <f t="shared" ref="CE180" ca="1" si="486">SUM(CE164:CE179)</f>
        <v>0</v>
      </c>
      <c r="CF180" s="65"/>
      <c r="CG180" s="84"/>
      <c r="CH180" s="71">
        <f t="shared" ref="CH180" ca="1" si="487">SUM(CH164:CH179)</f>
        <v>0</v>
      </c>
      <c r="CI180" s="65"/>
      <c r="CJ180" s="84"/>
      <c r="CK180" s="71">
        <f t="shared" ref="CK180" ca="1" si="488">SUM(CK164:CK179)</f>
        <v>0</v>
      </c>
      <c r="CL180" s="65"/>
      <c r="CM180" s="84"/>
      <c r="CN180" s="71">
        <f t="shared" ref="CN180" ca="1" si="489">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3</v>
      </c>
      <c r="G182" s="407">
        <f ca="1">VLOOKUP(H182,Equipos!$Q$1:$R$25,2,0)</f>
        <v>20</v>
      </c>
      <c r="H182" s="446" t="str">
        <f>Idiomas!$D$260</f>
        <v>Dieciseisavos de final</v>
      </c>
      <c r="I182" s="50"/>
      <c r="J182" s="846" t="s">
        <v>88</v>
      </c>
      <c r="K182" s="53" t="str">
        <f>Idiomas!$D$199&amp;"-"&amp;ROWS($L$182:L182)</f>
        <v>Octavofinalista-1</v>
      </c>
      <c r="L182" s="53"/>
      <c r="M182" s="55" t="str">
        <f ca="1">WORLDCUP!AA120</f>
        <v>Canadá</v>
      </c>
      <c r="N182" s="25"/>
      <c r="O182" s="25"/>
      <c r="P182" s="25"/>
      <c r="Q182" s="25"/>
      <c r="R182" s="110"/>
      <c r="S182" s="76" t="s">
        <v>1259</v>
      </c>
      <c r="T182" s="77">
        <f t="shared" ref="T182:T197" ca="1" si="490">COUNTIF($M$182:$M$197,S182)*$D$19</f>
        <v>3</v>
      </c>
      <c r="U182" s="64"/>
      <c r="V182" s="76" t="s">
        <v>1259</v>
      </c>
      <c r="W182" s="77">
        <f t="shared" ref="W182:W197" ca="1" si="491">COUNTIF($M$182:$M$197,V182)*$D$19</f>
        <v>3</v>
      </c>
      <c r="X182" s="64"/>
      <c r="Y182" s="76" t="s">
        <v>1259</v>
      </c>
      <c r="Z182" s="77">
        <f t="shared" ref="Z182:Z197" ca="1" si="492">COUNTIF($M$182:$M$197,Y182)*$D$19</f>
        <v>3</v>
      </c>
      <c r="AA182" s="64"/>
      <c r="AB182" s="76" t="s">
        <v>1259</v>
      </c>
      <c r="AC182" s="77">
        <f ca="1">COUNTIF($M$182:$M$197,AB182)*$D$19</f>
        <v>3</v>
      </c>
      <c r="AD182" s="64"/>
      <c r="AE182" s="76" t="s">
        <v>1259</v>
      </c>
      <c r="AF182" s="77">
        <f ca="1">COUNTIF($M$182:$M$197,AE182)*$D$19</f>
        <v>3</v>
      </c>
      <c r="AG182" s="64"/>
      <c r="AH182" s="76" t="s">
        <v>1259</v>
      </c>
      <c r="AI182" s="77">
        <f t="shared" ref="AI182:AI197" ca="1" si="493">COUNTIF($M$182:$M$197,AH182)*$D$19</f>
        <v>3</v>
      </c>
      <c r="AJ182" s="64"/>
      <c r="AK182" s="76" t="s">
        <v>1259</v>
      </c>
      <c r="AL182" s="77">
        <f t="shared" ref="AL182:AL197" ca="1" si="494">COUNTIF($M$182:$M$197,AK182)*$D$19</f>
        <v>3</v>
      </c>
      <c r="AM182" s="64"/>
      <c r="AN182" s="76"/>
      <c r="AO182" s="77">
        <f t="shared" ref="AO182:AO197" ca="1" si="495">COUNTIF($M$182:$M$197,AN182)*$D$19</f>
        <v>0</v>
      </c>
      <c r="AP182" s="64"/>
      <c r="AQ182" s="76"/>
      <c r="AR182" s="77">
        <f t="shared" ref="AR182:AR197" ca="1" si="496">COUNTIF($M$182:$M$197,AQ182)*$D$19</f>
        <v>0</v>
      </c>
      <c r="AS182" s="64"/>
      <c r="AT182" s="76"/>
      <c r="AU182" s="77">
        <f t="shared" ref="AU182:AU197" ca="1" si="497">COUNTIF($M$182:$M$197,AT182)*$D$19</f>
        <v>0</v>
      </c>
      <c r="AV182" s="64"/>
      <c r="AW182" s="76"/>
      <c r="AX182" s="77">
        <f t="shared" ref="AX182:AX197" ca="1" si="498">COUNTIF($M$182:$M$197,AW182)*$D$19</f>
        <v>0</v>
      </c>
      <c r="AY182" s="64"/>
      <c r="AZ182" s="76"/>
      <c r="BA182" s="77">
        <f t="shared" ref="BA182:BA197" ca="1" si="499">COUNTIF($M$182:$M$197,AZ182)*$D$19</f>
        <v>0</v>
      </c>
      <c r="BB182" s="64"/>
      <c r="BC182" s="76"/>
      <c r="BD182" s="77">
        <f t="shared" ref="BD182:BD197" ca="1" si="500">COUNTIF($M$182:$M$197,BC182)*$D$19</f>
        <v>0</v>
      </c>
      <c r="BE182" s="64"/>
      <c r="BF182" s="76"/>
      <c r="BG182" s="77">
        <f t="shared" ref="BG182:BG197" ca="1" si="501">COUNTIF($M$182:$M$197,BF182)*$D$19</f>
        <v>0</v>
      </c>
      <c r="BH182" s="64"/>
      <c r="BI182" s="76"/>
      <c r="BJ182" s="77">
        <f t="shared" ref="BJ182:BJ197" ca="1" si="502">COUNTIF($M$182:$M$197,BI182)*$D$19</f>
        <v>0</v>
      </c>
      <c r="BK182" s="64"/>
      <c r="BL182" s="76"/>
      <c r="BM182" s="77">
        <f t="shared" ref="BM182:BM197" ca="1" si="503">COUNTIF($M$182:$M$197,BL182)*$D$19</f>
        <v>0</v>
      </c>
      <c r="BN182" s="64"/>
      <c r="BO182" s="76"/>
      <c r="BP182" s="77">
        <f t="shared" ref="BP182:BP197" ca="1" si="504">COUNTIF($M$182:$M$197,BO182)*$D$19</f>
        <v>0</v>
      </c>
      <c r="BQ182" s="64"/>
      <c r="BR182" s="76"/>
      <c r="BS182" s="77">
        <f t="shared" ref="BS182:BS197" ca="1" si="505">COUNTIF($M$182:$M$197,BR182)*$D$19</f>
        <v>0</v>
      </c>
      <c r="BT182" s="64"/>
      <c r="BU182" s="76"/>
      <c r="BV182" s="77">
        <f t="shared" ref="BV182:BV197" ca="1" si="506">COUNTIF($M$182:$M$197,BU182)*$D$19</f>
        <v>0</v>
      </c>
      <c r="BW182" s="64"/>
      <c r="BX182" s="76"/>
      <c r="BY182" s="77">
        <f t="shared" ref="BY182:BY197" ca="1" si="507">COUNTIF($M$182:$M$197,BX182)*$D$19</f>
        <v>0</v>
      </c>
      <c r="BZ182" s="64"/>
      <c r="CA182" s="76"/>
      <c r="CB182" s="77">
        <f t="shared" ref="CB182:CB197" ca="1" si="508">COUNTIF($M$182:$M$197,CA182)*$D$19</f>
        <v>0</v>
      </c>
      <c r="CC182" s="64"/>
      <c r="CD182" s="76"/>
      <c r="CE182" s="77">
        <f t="shared" ref="CE182:CE197" ca="1" si="509">COUNTIF($M$182:$M$197,CD182)*$D$19</f>
        <v>0</v>
      </c>
      <c r="CF182" s="64"/>
      <c r="CG182" s="76"/>
      <c r="CH182" s="77">
        <f t="shared" ref="CH182:CH197" ca="1" si="510">COUNTIF($M$182:$M$197,CG182)*$D$19</f>
        <v>0</v>
      </c>
      <c r="CI182" s="64"/>
      <c r="CJ182" s="76"/>
      <c r="CK182" s="77">
        <f t="shared" ref="CK182:CK197" ca="1" si="511">COUNTIF($M$182:$M$197,CJ182)*$D$19</f>
        <v>0</v>
      </c>
      <c r="CL182" s="64"/>
      <c r="CM182" s="76"/>
      <c r="CN182" s="77">
        <f t="shared" ref="CN182:CN197" ca="1" si="512">COUNTIF($M$182:$M$197,CM182)*$D$19</f>
        <v>0</v>
      </c>
      <c r="CO182" s="64"/>
      <c r="CP182" s="64"/>
    </row>
    <row r="183" spans="1:94">
      <c r="A183" s="25"/>
      <c r="B183" s="25"/>
      <c r="C183" s="25"/>
      <c r="D183" s="25"/>
      <c r="E183" s="25"/>
      <c r="F183" s="407">
        <f t="shared" ref="F183:F197" si="513">$D$19</f>
        <v>3</v>
      </c>
      <c r="G183" s="407">
        <f ca="1">VLOOKUP(H183,Equipos!$Q$1:$R$25,2,0)</f>
        <v>20</v>
      </c>
      <c r="H183" s="446" t="str">
        <f>Idiomas!$D$260</f>
        <v>Dieciseisavos de final</v>
      </c>
      <c r="I183" s="50"/>
      <c r="J183" s="846"/>
      <c r="K183" s="56" t="str">
        <f>Idiomas!$D$199&amp;"-"&amp;ROWS($L$182:L183)</f>
        <v>Octavofinalista-2</v>
      </c>
      <c r="L183" s="53"/>
      <c r="M183" s="55" t="str">
        <f>WORLDCUP!AA121</f>
        <v>W74</v>
      </c>
      <c r="N183" s="25"/>
      <c r="O183" s="25"/>
      <c r="P183" s="25"/>
      <c r="Q183" s="25"/>
      <c r="R183" s="110"/>
      <c r="S183" s="74" t="s">
        <v>77</v>
      </c>
      <c r="T183" s="73">
        <f t="shared" ca="1" si="490"/>
        <v>0</v>
      </c>
      <c r="U183" s="64"/>
      <c r="V183" s="74" t="s">
        <v>77</v>
      </c>
      <c r="W183" s="73">
        <f t="shared" ca="1" si="491"/>
        <v>0</v>
      </c>
      <c r="X183" s="64"/>
      <c r="Y183" s="74" t="s">
        <v>77</v>
      </c>
      <c r="Z183" s="73">
        <f t="shared" ca="1" si="492"/>
        <v>0</v>
      </c>
      <c r="AA183" s="64"/>
      <c r="AB183" s="74" t="s">
        <v>77</v>
      </c>
      <c r="AC183" s="73">
        <f ca="1">COUNTIF($M$182:$M$197,AB183)*$D$19</f>
        <v>0</v>
      </c>
      <c r="AD183" s="64"/>
      <c r="AE183" s="74" t="s">
        <v>77</v>
      </c>
      <c r="AF183" s="73">
        <f ca="1">COUNTIF($M$182:$M$197,AE183)*$D$19</f>
        <v>0</v>
      </c>
      <c r="AG183" s="64"/>
      <c r="AH183" s="74" t="s">
        <v>77</v>
      </c>
      <c r="AI183" s="73">
        <f t="shared" ca="1" si="493"/>
        <v>0</v>
      </c>
      <c r="AJ183" s="64"/>
      <c r="AK183" s="74" t="s">
        <v>77</v>
      </c>
      <c r="AL183" s="73">
        <f t="shared" ca="1" si="494"/>
        <v>0</v>
      </c>
      <c r="AM183" s="64"/>
      <c r="AN183" s="74"/>
      <c r="AO183" s="73">
        <f t="shared" ca="1" si="495"/>
        <v>0</v>
      </c>
      <c r="AP183" s="64"/>
      <c r="AQ183" s="74"/>
      <c r="AR183" s="73">
        <f t="shared" ca="1" si="496"/>
        <v>0</v>
      </c>
      <c r="AS183" s="64"/>
      <c r="AT183" s="74"/>
      <c r="AU183" s="73">
        <f t="shared" ca="1" si="497"/>
        <v>0</v>
      </c>
      <c r="AV183" s="64"/>
      <c r="AW183" s="74"/>
      <c r="AX183" s="73">
        <f t="shared" ca="1" si="498"/>
        <v>0</v>
      </c>
      <c r="AY183" s="64"/>
      <c r="AZ183" s="74"/>
      <c r="BA183" s="73">
        <f t="shared" ca="1" si="499"/>
        <v>0</v>
      </c>
      <c r="BB183" s="64"/>
      <c r="BC183" s="74"/>
      <c r="BD183" s="73">
        <f t="shared" ca="1" si="500"/>
        <v>0</v>
      </c>
      <c r="BE183" s="64"/>
      <c r="BF183" s="74"/>
      <c r="BG183" s="73">
        <f t="shared" ca="1" si="501"/>
        <v>0</v>
      </c>
      <c r="BH183" s="64"/>
      <c r="BI183" s="74"/>
      <c r="BJ183" s="73">
        <f t="shared" ca="1" si="502"/>
        <v>0</v>
      </c>
      <c r="BK183" s="64"/>
      <c r="BL183" s="74"/>
      <c r="BM183" s="73">
        <f t="shared" ca="1" si="503"/>
        <v>0</v>
      </c>
      <c r="BN183" s="64"/>
      <c r="BO183" s="74"/>
      <c r="BP183" s="73">
        <f t="shared" ca="1" si="504"/>
        <v>0</v>
      </c>
      <c r="BQ183" s="64"/>
      <c r="BR183" s="74"/>
      <c r="BS183" s="73">
        <f t="shared" ca="1" si="505"/>
        <v>0</v>
      </c>
      <c r="BT183" s="64"/>
      <c r="BU183" s="74"/>
      <c r="BV183" s="73">
        <f t="shared" ca="1" si="506"/>
        <v>0</v>
      </c>
      <c r="BW183" s="64"/>
      <c r="BX183" s="74"/>
      <c r="BY183" s="73">
        <f t="shared" ca="1" si="507"/>
        <v>0</v>
      </c>
      <c r="BZ183" s="64"/>
      <c r="CA183" s="74"/>
      <c r="CB183" s="73">
        <f t="shared" ca="1" si="508"/>
        <v>0</v>
      </c>
      <c r="CC183" s="64"/>
      <c r="CD183" s="74"/>
      <c r="CE183" s="73">
        <f t="shared" ca="1" si="509"/>
        <v>0</v>
      </c>
      <c r="CF183" s="64"/>
      <c r="CG183" s="74"/>
      <c r="CH183" s="73">
        <f t="shared" ca="1" si="510"/>
        <v>0</v>
      </c>
      <c r="CI183" s="64"/>
      <c r="CJ183" s="74"/>
      <c r="CK183" s="73">
        <f t="shared" ca="1" si="511"/>
        <v>0</v>
      </c>
      <c r="CL183" s="64"/>
      <c r="CM183" s="74"/>
      <c r="CN183" s="73">
        <f t="shared" ca="1" si="512"/>
        <v>0</v>
      </c>
      <c r="CO183" s="64"/>
      <c r="CP183" s="64"/>
    </row>
    <row r="184" spans="1:94">
      <c r="A184" s="25"/>
      <c r="B184" s="25"/>
      <c r="C184" s="25"/>
      <c r="D184" s="25"/>
      <c r="E184" s="25"/>
      <c r="F184" s="407">
        <f t="shared" si="513"/>
        <v>3</v>
      </c>
      <c r="G184" s="407">
        <f ca="1">VLOOKUP(H184,Equipos!$Q$1:$R$25,2,0)</f>
        <v>20</v>
      </c>
      <c r="H184" s="446" t="str">
        <f>Idiomas!$D$260</f>
        <v>Dieciseisavos de final</v>
      </c>
      <c r="I184" s="50"/>
      <c r="J184" s="846"/>
      <c r="K184" s="56" t="str">
        <f>Idiomas!$D$199&amp;"-"&amp;ROWS($L$182:L184)</f>
        <v>Octavofinalista-3</v>
      </c>
      <c r="L184" s="53"/>
      <c r="M184" s="55" t="str">
        <f>WORLDCUP!AA122</f>
        <v>W76</v>
      </c>
      <c r="N184" s="25"/>
      <c r="O184" s="25"/>
      <c r="P184" s="25"/>
      <c r="Q184" s="25"/>
      <c r="R184" s="110"/>
      <c r="S184" s="74" t="s">
        <v>1258</v>
      </c>
      <c r="T184" s="73">
        <f t="shared" ca="1" si="490"/>
        <v>0</v>
      </c>
      <c r="U184" s="64"/>
      <c r="V184" s="74" t="s">
        <v>1258</v>
      </c>
      <c r="W184" s="73">
        <f t="shared" ca="1" si="491"/>
        <v>0</v>
      </c>
      <c r="X184" s="64"/>
      <c r="Y184" s="74" t="s">
        <v>1258</v>
      </c>
      <c r="Z184" s="73">
        <f t="shared" ca="1" si="492"/>
        <v>0</v>
      </c>
      <c r="AA184" s="64"/>
      <c r="AB184" s="74" t="s">
        <v>1258</v>
      </c>
      <c r="AC184" s="73">
        <f ca="1">COUNTIF($M$182:$M$197,AB184)*$D$19</f>
        <v>0</v>
      </c>
      <c r="AD184" s="64"/>
      <c r="AE184" s="74" t="s">
        <v>1258</v>
      </c>
      <c r="AF184" s="73">
        <f ca="1">COUNTIF($M$182:$M$197,AE184)*$D$19</f>
        <v>0</v>
      </c>
      <c r="AG184" s="64"/>
      <c r="AH184" s="74" t="s">
        <v>1258</v>
      </c>
      <c r="AI184" s="73">
        <f t="shared" ca="1" si="493"/>
        <v>0</v>
      </c>
      <c r="AJ184" s="64"/>
      <c r="AK184" s="74" t="s">
        <v>1258</v>
      </c>
      <c r="AL184" s="73">
        <f t="shared" ca="1" si="494"/>
        <v>0</v>
      </c>
      <c r="AM184" s="64"/>
      <c r="AN184" s="74"/>
      <c r="AO184" s="73">
        <f t="shared" ca="1" si="495"/>
        <v>0</v>
      </c>
      <c r="AP184" s="64"/>
      <c r="AQ184" s="74"/>
      <c r="AR184" s="73">
        <f t="shared" ca="1" si="496"/>
        <v>0</v>
      </c>
      <c r="AS184" s="64"/>
      <c r="AT184" s="74"/>
      <c r="AU184" s="73">
        <f t="shared" ca="1" si="497"/>
        <v>0</v>
      </c>
      <c r="AV184" s="64"/>
      <c r="AW184" s="74"/>
      <c r="AX184" s="73">
        <f t="shared" ca="1" si="498"/>
        <v>0</v>
      </c>
      <c r="AY184" s="64"/>
      <c r="AZ184" s="74"/>
      <c r="BA184" s="73">
        <f t="shared" ca="1" si="499"/>
        <v>0</v>
      </c>
      <c r="BB184" s="64"/>
      <c r="BC184" s="74"/>
      <c r="BD184" s="73">
        <f t="shared" ca="1" si="500"/>
        <v>0</v>
      </c>
      <c r="BE184" s="64"/>
      <c r="BF184" s="74"/>
      <c r="BG184" s="73">
        <f t="shared" ca="1" si="501"/>
        <v>0</v>
      </c>
      <c r="BH184" s="64"/>
      <c r="BI184" s="74"/>
      <c r="BJ184" s="73">
        <f t="shared" ca="1" si="502"/>
        <v>0</v>
      </c>
      <c r="BK184" s="64"/>
      <c r="BL184" s="74"/>
      <c r="BM184" s="73">
        <f t="shared" ca="1" si="503"/>
        <v>0</v>
      </c>
      <c r="BN184" s="64"/>
      <c r="BO184" s="74"/>
      <c r="BP184" s="73">
        <f t="shared" ca="1" si="504"/>
        <v>0</v>
      </c>
      <c r="BQ184" s="64"/>
      <c r="BR184" s="74"/>
      <c r="BS184" s="73">
        <f t="shared" ca="1" si="505"/>
        <v>0</v>
      </c>
      <c r="BT184" s="64"/>
      <c r="BU184" s="74"/>
      <c r="BV184" s="73">
        <f t="shared" ca="1" si="506"/>
        <v>0</v>
      </c>
      <c r="BW184" s="64"/>
      <c r="BX184" s="74"/>
      <c r="BY184" s="73">
        <f t="shared" ca="1" si="507"/>
        <v>0</v>
      </c>
      <c r="BZ184" s="64"/>
      <c r="CA184" s="74"/>
      <c r="CB184" s="73">
        <f t="shared" ca="1" si="508"/>
        <v>0</v>
      </c>
      <c r="CC184" s="64"/>
      <c r="CD184" s="74"/>
      <c r="CE184" s="73">
        <f t="shared" ca="1" si="509"/>
        <v>0</v>
      </c>
      <c r="CF184" s="64"/>
      <c r="CG184" s="74"/>
      <c r="CH184" s="73">
        <f t="shared" ca="1" si="510"/>
        <v>0</v>
      </c>
      <c r="CI184" s="64"/>
      <c r="CJ184" s="74"/>
      <c r="CK184" s="73">
        <f t="shared" ca="1" si="511"/>
        <v>0</v>
      </c>
      <c r="CL184" s="64"/>
      <c r="CM184" s="74"/>
      <c r="CN184" s="73">
        <f t="shared" ca="1" si="512"/>
        <v>0</v>
      </c>
      <c r="CO184" s="64"/>
      <c r="CP184" s="64"/>
    </row>
    <row r="185" spans="1:94">
      <c r="A185" s="25"/>
      <c r="B185" s="25"/>
      <c r="C185" s="25"/>
      <c r="D185" s="25"/>
      <c r="E185" s="25"/>
      <c r="F185" s="407">
        <f t="shared" si="513"/>
        <v>3</v>
      </c>
      <c r="G185" s="407">
        <f ca="1">VLOOKUP(H185,Equipos!$Q$1:$R$25,2,0)</f>
        <v>20</v>
      </c>
      <c r="H185" s="446" t="str">
        <f>Idiomas!$D$260</f>
        <v>Dieciseisavos de final</v>
      </c>
      <c r="I185" s="50"/>
      <c r="J185" s="846"/>
      <c r="K185" s="56" t="str">
        <f>Idiomas!$D$199&amp;"-"&amp;ROWS($L$182:L185)</f>
        <v>Octavofinalista-4</v>
      </c>
      <c r="L185" s="53"/>
      <c r="M185" s="55" t="str">
        <f>WORLDCUP!AA123</f>
        <v>W79</v>
      </c>
      <c r="N185" s="25"/>
      <c r="O185" s="25"/>
      <c r="P185" s="25"/>
      <c r="Q185" s="25"/>
      <c r="R185" s="110"/>
      <c r="S185" s="74" t="s">
        <v>1265</v>
      </c>
      <c r="T185" s="73">
        <f t="shared" ca="1" si="490"/>
        <v>0</v>
      </c>
      <c r="U185" s="64"/>
      <c r="V185" s="74" t="s">
        <v>1265</v>
      </c>
      <c r="W185" s="73">
        <f t="shared" ca="1" si="491"/>
        <v>0</v>
      </c>
      <c r="X185" s="64"/>
      <c r="Y185" s="74" t="s">
        <v>1261</v>
      </c>
      <c r="Z185" s="73">
        <f t="shared" ca="1" si="492"/>
        <v>0</v>
      </c>
      <c r="AA185" s="64"/>
      <c r="AB185" s="74" t="s">
        <v>1265</v>
      </c>
      <c r="AC185" s="73">
        <f ca="1">COUNTIF($M$182:$M$197,AB185)*$D$19</f>
        <v>0</v>
      </c>
      <c r="AD185" s="64"/>
      <c r="AE185" s="74" t="s">
        <v>1261</v>
      </c>
      <c r="AF185" s="73">
        <f ca="1">COUNTIF($M$182:$M$197,AE185)*$D$19</f>
        <v>0</v>
      </c>
      <c r="AG185" s="64"/>
      <c r="AH185" s="74" t="s">
        <v>1261</v>
      </c>
      <c r="AI185" s="73">
        <f t="shared" ca="1" si="493"/>
        <v>0</v>
      </c>
      <c r="AJ185" s="64"/>
      <c r="AK185" s="74" t="s">
        <v>1261</v>
      </c>
      <c r="AL185" s="73">
        <f t="shared" ca="1" si="494"/>
        <v>0</v>
      </c>
      <c r="AM185" s="64"/>
      <c r="AN185" s="74"/>
      <c r="AO185" s="73">
        <f t="shared" ca="1" si="495"/>
        <v>0</v>
      </c>
      <c r="AP185" s="64"/>
      <c r="AQ185" s="74"/>
      <c r="AR185" s="73">
        <f t="shared" ca="1" si="496"/>
        <v>0</v>
      </c>
      <c r="AS185" s="64"/>
      <c r="AT185" s="74"/>
      <c r="AU185" s="73">
        <f t="shared" ca="1" si="497"/>
        <v>0</v>
      </c>
      <c r="AV185" s="64"/>
      <c r="AW185" s="74"/>
      <c r="AX185" s="73">
        <f t="shared" ca="1" si="498"/>
        <v>0</v>
      </c>
      <c r="AY185" s="64"/>
      <c r="AZ185" s="74"/>
      <c r="BA185" s="73">
        <f t="shared" ca="1" si="499"/>
        <v>0</v>
      </c>
      <c r="BB185" s="64"/>
      <c r="BC185" s="74"/>
      <c r="BD185" s="73">
        <f t="shared" ca="1" si="500"/>
        <v>0</v>
      </c>
      <c r="BE185" s="64"/>
      <c r="BF185" s="74"/>
      <c r="BG185" s="73">
        <f t="shared" ca="1" si="501"/>
        <v>0</v>
      </c>
      <c r="BH185" s="64"/>
      <c r="BI185" s="74"/>
      <c r="BJ185" s="73">
        <f t="shared" ca="1" si="502"/>
        <v>0</v>
      </c>
      <c r="BK185" s="64"/>
      <c r="BL185" s="74"/>
      <c r="BM185" s="73">
        <f t="shared" ca="1" si="503"/>
        <v>0</v>
      </c>
      <c r="BN185" s="64"/>
      <c r="BO185" s="74"/>
      <c r="BP185" s="73">
        <f t="shared" ca="1" si="504"/>
        <v>0</v>
      </c>
      <c r="BQ185" s="64"/>
      <c r="BR185" s="74"/>
      <c r="BS185" s="73">
        <f t="shared" ca="1" si="505"/>
        <v>0</v>
      </c>
      <c r="BT185" s="64"/>
      <c r="BU185" s="74"/>
      <c r="BV185" s="73">
        <f t="shared" ca="1" si="506"/>
        <v>0</v>
      </c>
      <c r="BW185" s="64"/>
      <c r="BX185" s="74"/>
      <c r="BY185" s="73">
        <f t="shared" ca="1" si="507"/>
        <v>0</v>
      </c>
      <c r="BZ185" s="64"/>
      <c r="CA185" s="74"/>
      <c r="CB185" s="73">
        <f t="shared" ca="1" si="508"/>
        <v>0</v>
      </c>
      <c r="CC185" s="64"/>
      <c r="CD185" s="74"/>
      <c r="CE185" s="73">
        <f t="shared" ca="1" si="509"/>
        <v>0</v>
      </c>
      <c r="CF185" s="64"/>
      <c r="CG185" s="74"/>
      <c r="CH185" s="73">
        <f t="shared" ca="1" si="510"/>
        <v>0</v>
      </c>
      <c r="CI185" s="64"/>
      <c r="CJ185" s="74"/>
      <c r="CK185" s="73">
        <f t="shared" ca="1" si="511"/>
        <v>0</v>
      </c>
      <c r="CL185" s="64"/>
      <c r="CM185" s="74"/>
      <c r="CN185" s="73">
        <f t="shared" ca="1" si="512"/>
        <v>0</v>
      </c>
      <c r="CO185" s="64"/>
      <c r="CP185" s="64"/>
    </row>
    <row r="186" spans="1:94">
      <c r="A186" s="25"/>
      <c r="B186" s="25"/>
      <c r="C186" s="25"/>
      <c r="D186" s="25"/>
      <c r="E186" s="25"/>
      <c r="F186" s="407">
        <f t="shared" si="513"/>
        <v>3</v>
      </c>
      <c r="G186" s="407">
        <f ca="1">VLOOKUP(H186,Equipos!$Q$1:$R$25,2,0)</f>
        <v>20</v>
      </c>
      <c r="H186" s="446" t="str">
        <f>Idiomas!$D$260</f>
        <v>Dieciseisavos de final</v>
      </c>
      <c r="I186" s="50"/>
      <c r="J186" s="846"/>
      <c r="K186" s="56" t="str">
        <f>Idiomas!$D$199&amp;"-"&amp;ROWS($L$182:L186)</f>
        <v>Octavofinalista-5</v>
      </c>
      <c r="L186" s="53"/>
      <c r="M186" s="55" t="str">
        <f>WORLDCUP!AA124</f>
        <v>W83</v>
      </c>
      <c r="N186" s="25"/>
      <c r="O186" s="25"/>
      <c r="P186" s="25"/>
      <c r="Q186" s="25"/>
      <c r="R186" s="110"/>
      <c r="S186" s="74" t="s">
        <v>79</v>
      </c>
      <c r="T186" s="73">
        <f t="shared" ca="1" si="490"/>
        <v>0</v>
      </c>
      <c r="U186" s="64"/>
      <c r="V186" s="74" t="s">
        <v>79</v>
      </c>
      <c r="W186" s="73">
        <f t="shared" ca="1" si="491"/>
        <v>0</v>
      </c>
      <c r="X186" s="64"/>
      <c r="Y186" s="74" t="s">
        <v>79</v>
      </c>
      <c r="Z186" s="73">
        <f t="shared" ca="1" si="492"/>
        <v>0</v>
      </c>
      <c r="AA186" s="64"/>
      <c r="AB186" s="74" t="s">
        <v>79</v>
      </c>
      <c r="AC186" s="73">
        <f ca="1">COUNTIF($M$182:$M$197,AB186)*$D$19</f>
        <v>0</v>
      </c>
      <c r="AD186" s="64"/>
      <c r="AE186" s="74" t="s">
        <v>78</v>
      </c>
      <c r="AF186" s="73">
        <f ca="1">COUNTIF($M$182:$M$197,AE186)*$D$19</f>
        <v>0</v>
      </c>
      <c r="AG186" s="64"/>
      <c r="AH186" s="74" t="s">
        <v>79</v>
      </c>
      <c r="AI186" s="73">
        <f t="shared" ca="1" si="493"/>
        <v>0</v>
      </c>
      <c r="AJ186" s="64"/>
      <c r="AK186" s="74" t="s">
        <v>79</v>
      </c>
      <c r="AL186" s="73">
        <f t="shared" ca="1" si="494"/>
        <v>0</v>
      </c>
      <c r="AM186" s="64"/>
      <c r="AN186" s="74"/>
      <c r="AO186" s="73">
        <f t="shared" ca="1" si="495"/>
        <v>0</v>
      </c>
      <c r="AP186" s="64"/>
      <c r="AQ186" s="74"/>
      <c r="AR186" s="73">
        <f t="shared" ca="1" si="496"/>
        <v>0</v>
      </c>
      <c r="AS186" s="64"/>
      <c r="AT186" s="74"/>
      <c r="AU186" s="73">
        <f t="shared" ca="1" si="497"/>
        <v>0</v>
      </c>
      <c r="AV186" s="64"/>
      <c r="AW186" s="74"/>
      <c r="AX186" s="73">
        <f t="shared" ca="1" si="498"/>
        <v>0</v>
      </c>
      <c r="AY186" s="64"/>
      <c r="AZ186" s="74"/>
      <c r="BA186" s="73">
        <f t="shared" ca="1" si="499"/>
        <v>0</v>
      </c>
      <c r="BB186" s="64"/>
      <c r="BC186" s="74"/>
      <c r="BD186" s="73">
        <f t="shared" ca="1" si="500"/>
        <v>0</v>
      </c>
      <c r="BE186" s="64"/>
      <c r="BF186" s="74"/>
      <c r="BG186" s="73">
        <f t="shared" ca="1" si="501"/>
        <v>0</v>
      </c>
      <c r="BH186" s="64"/>
      <c r="BI186" s="74"/>
      <c r="BJ186" s="73">
        <f t="shared" ca="1" si="502"/>
        <v>0</v>
      </c>
      <c r="BK186" s="64"/>
      <c r="BL186" s="74"/>
      <c r="BM186" s="73">
        <f t="shared" ca="1" si="503"/>
        <v>0</v>
      </c>
      <c r="BN186" s="64"/>
      <c r="BO186" s="74"/>
      <c r="BP186" s="73">
        <f t="shared" ca="1" si="504"/>
        <v>0</v>
      </c>
      <c r="BQ186" s="64"/>
      <c r="BR186" s="74"/>
      <c r="BS186" s="73">
        <f t="shared" ca="1" si="505"/>
        <v>0</v>
      </c>
      <c r="BT186" s="64"/>
      <c r="BU186" s="74"/>
      <c r="BV186" s="73">
        <f t="shared" ca="1" si="506"/>
        <v>0</v>
      </c>
      <c r="BW186" s="64"/>
      <c r="BX186" s="74"/>
      <c r="BY186" s="73">
        <f t="shared" ca="1" si="507"/>
        <v>0</v>
      </c>
      <c r="BZ186" s="64"/>
      <c r="CA186" s="74"/>
      <c r="CB186" s="73">
        <f t="shared" ca="1" si="508"/>
        <v>0</v>
      </c>
      <c r="CC186" s="64"/>
      <c r="CD186" s="74"/>
      <c r="CE186" s="73">
        <f t="shared" ca="1" si="509"/>
        <v>0</v>
      </c>
      <c r="CF186" s="64"/>
      <c r="CG186" s="74"/>
      <c r="CH186" s="73">
        <f t="shared" ca="1" si="510"/>
        <v>0</v>
      </c>
      <c r="CI186" s="64"/>
      <c r="CJ186" s="74"/>
      <c r="CK186" s="73">
        <f t="shared" ca="1" si="511"/>
        <v>0</v>
      </c>
      <c r="CL186" s="64"/>
      <c r="CM186" s="74"/>
      <c r="CN186" s="73">
        <f t="shared" ca="1" si="512"/>
        <v>0</v>
      </c>
      <c r="CO186" s="64"/>
      <c r="CP186" s="64"/>
    </row>
    <row r="187" spans="1:94">
      <c r="A187" s="25"/>
      <c r="B187" s="25"/>
      <c r="C187" s="25"/>
      <c r="D187" s="25"/>
      <c r="E187" s="25"/>
      <c r="F187" s="407">
        <f t="shared" si="513"/>
        <v>3</v>
      </c>
      <c r="G187" s="407">
        <f ca="1">VLOOKUP(H187,Equipos!$Q$1:$R$25,2,0)</f>
        <v>20</v>
      </c>
      <c r="H187" s="446" t="str">
        <f>Idiomas!$D$260</f>
        <v>Dieciseisavos de final</v>
      </c>
      <c r="I187" s="50"/>
      <c r="J187" s="846"/>
      <c r="K187" s="56" t="str">
        <f>Idiomas!$D$199&amp;"-"&amp;ROWS($L$182:L187)</f>
        <v>Octavofinalista-6</v>
      </c>
      <c r="L187" s="53"/>
      <c r="M187" s="55" t="str">
        <f>WORLDCUP!AA125</f>
        <v>W81</v>
      </c>
      <c r="N187" s="25"/>
      <c r="O187" s="25"/>
      <c r="P187" s="25"/>
      <c r="Q187" s="25"/>
      <c r="R187" s="110"/>
      <c r="S187" s="74" t="s">
        <v>497</v>
      </c>
      <c r="T187" s="73">
        <f t="shared" ca="1" si="490"/>
        <v>0</v>
      </c>
      <c r="U187" s="64"/>
      <c r="V187" s="74" t="s">
        <v>497</v>
      </c>
      <c r="W187" s="73">
        <f t="shared" ca="1" si="491"/>
        <v>0</v>
      </c>
      <c r="X187" s="64"/>
      <c r="Y187" s="74" t="s">
        <v>497</v>
      </c>
      <c r="Z187" s="73">
        <f t="shared" ca="1" si="492"/>
        <v>0</v>
      </c>
      <c r="AA187" s="64"/>
      <c r="AB187" s="76" t="s">
        <v>497</v>
      </c>
      <c r="AC187" s="73">
        <f ca="1">COUNTIF($M$182:$M$197,AB187)*$D$19</f>
        <v>0</v>
      </c>
      <c r="AD187" s="64"/>
      <c r="AE187" s="74" t="s">
        <v>497</v>
      </c>
      <c r="AF187" s="73">
        <f ca="1">COUNTIF($M$182:$M$197,AE187)*$D$19</f>
        <v>0</v>
      </c>
      <c r="AG187" s="64"/>
      <c r="AH187" s="74" t="s">
        <v>497</v>
      </c>
      <c r="AI187" s="73">
        <f t="shared" ca="1" si="493"/>
        <v>0</v>
      </c>
      <c r="AJ187" s="64"/>
      <c r="AK187" s="74" t="s">
        <v>497</v>
      </c>
      <c r="AL187" s="73">
        <f t="shared" ca="1" si="494"/>
        <v>0</v>
      </c>
      <c r="AM187" s="64"/>
      <c r="AN187" s="74"/>
      <c r="AO187" s="73">
        <f t="shared" ca="1" si="495"/>
        <v>0</v>
      </c>
      <c r="AP187" s="64"/>
      <c r="AQ187" s="74"/>
      <c r="AR187" s="73">
        <f t="shared" ca="1" si="496"/>
        <v>0</v>
      </c>
      <c r="AS187" s="64"/>
      <c r="AT187" s="74"/>
      <c r="AU187" s="73">
        <f t="shared" ca="1" si="497"/>
        <v>0</v>
      </c>
      <c r="AV187" s="64"/>
      <c r="AW187" s="74"/>
      <c r="AX187" s="73">
        <f t="shared" ca="1" si="498"/>
        <v>0</v>
      </c>
      <c r="AY187" s="64"/>
      <c r="AZ187" s="74"/>
      <c r="BA187" s="73">
        <f t="shared" ca="1" si="499"/>
        <v>0</v>
      </c>
      <c r="BB187" s="64"/>
      <c r="BC187" s="74"/>
      <c r="BD187" s="73">
        <f t="shared" ca="1" si="500"/>
        <v>0</v>
      </c>
      <c r="BE187" s="64"/>
      <c r="BF187" s="74"/>
      <c r="BG187" s="73">
        <f t="shared" ca="1" si="501"/>
        <v>0</v>
      </c>
      <c r="BH187" s="64"/>
      <c r="BI187" s="74"/>
      <c r="BJ187" s="73">
        <f t="shared" ca="1" si="502"/>
        <v>0</v>
      </c>
      <c r="BK187" s="64"/>
      <c r="BL187" s="74"/>
      <c r="BM187" s="73">
        <f t="shared" ca="1" si="503"/>
        <v>0</v>
      </c>
      <c r="BN187" s="64"/>
      <c r="BO187" s="74"/>
      <c r="BP187" s="73">
        <f t="shared" ca="1" si="504"/>
        <v>0</v>
      </c>
      <c r="BQ187" s="64"/>
      <c r="BR187" s="74"/>
      <c r="BS187" s="73">
        <f t="shared" ca="1" si="505"/>
        <v>0</v>
      </c>
      <c r="BT187" s="64"/>
      <c r="BU187" s="74"/>
      <c r="BV187" s="73">
        <f t="shared" ca="1" si="506"/>
        <v>0</v>
      </c>
      <c r="BW187" s="64"/>
      <c r="BX187" s="74"/>
      <c r="BY187" s="73">
        <f t="shared" ca="1" si="507"/>
        <v>0</v>
      </c>
      <c r="BZ187" s="64"/>
      <c r="CA187" s="74"/>
      <c r="CB187" s="73">
        <f t="shared" ca="1" si="508"/>
        <v>0</v>
      </c>
      <c r="CC187" s="64"/>
      <c r="CD187" s="74"/>
      <c r="CE187" s="73">
        <f t="shared" ca="1" si="509"/>
        <v>0</v>
      </c>
      <c r="CF187" s="64"/>
      <c r="CG187" s="74"/>
      <c r="CH187" s="73">
        <f t="shared" ca="1" si="510"/>
        <v>0</v>
      </c>
      <c r="CI187" s="64"/>
      <c r="CJ187" s="74"/>
      <c r="CK187" s="73">
        <f t="shared" ca="1" si="511"/>
        <v>0</v>
      </c>
      <c r="CL187" s="64"/>
      <c r="CM187" s="74"/>
      <c r="CN187" s="73">
        <f t="shared" ca="1" si="512"/>
        <v>0</v>
      </c>
      <c r="CO187" s="64"/>
      <c r="CP187" s="64"/>
    </row>
    <row r="188" spans="1:94">
      <c r="A188" s="25"/>
      <c r="B188" s="25"/>
      <c r="C188" s="25"/>
      <c r="D188" s="25"/>
      <c r="E188" s="25"/>
      <c r="F188" s="407">
        <f t="shared" si="513"/>
        <v>3</v>
      </c>
      <c r="G188" s="407">
        <f ca="1">VLOOKUP(H188,Equipos!$Q$1:$R$25,2,0)</f>
        <v>20</v>
      </c>
      <c r="H188" s="446" t="str">
        <f>Idiomas!$D$260</f>
        <v>Dieciseisavos de final</v>
      </c>
      <c r="I188" s="50"/>
      <c r="J188" s="846"/>
      <c r="K188" s="56" t="str">
        <f>Idiomas!$D$199&amp;"-"&amp;ROWS($L$182:L188)</f>
        <v>Octavofinalista-7</v>
      </c>
      <c r="L188" s="53"/>
      <c r="M188" s="55" t="str">
        <f>WORLDCUP!AA126</f>
        <v>W86</v>
      </c>
      <c r="N188" s="25"/>
      <c r="O188" s="25"/>
      <c r="P188" s="25"/>
      <c r="Q188" s="25"/>
      <c r="R188" s="110"/>
      <c r="S188" s="74" t="s">
        <v>1256</v>
      </c>
      <c r="T188" s="73">
        <f t="shared" ca="1" si="490"/>
        <v>0</v>
      </c>
      <c r="U188" s="64"/>
      <c r="V188" s="74" t="s">
        <v>1256</v>
      </c>
      <c r="W188" s="73">
        <f t="shared" ca="1" si="491"/>
        <v>0</v>
      </c>
      <c r="X188" s="64"/>
      <c r="Y188" s="74" t="s">
        <v>1256</v>
      </c>
      <c r="Z188" s="73">
        <f t="shared" ca="1" si="492"/>
        <v>0</v>
      </c>
      <c r="AA188" s="64"/>
      <c r="AB188" s="74" t="s">
        <v>1256</v>
      </c>
      <c r="AC188" s="73">
        <f ca="1">COUNTIF($M$182:$M$197,AB188)*$D$19</f>
        <v>0</v>
      </c>
      <c r="AD188" s="64"/>
      <c r="AE188" s="74" t="s">
        <v>1256</v>
      </c>
      <c r="AF188" s="73">
        <f ca="1">COUNTIF($M$182:$M$197,AE188)*$D$19</f>
        <v>0</v>
      </c>
      <c r="AG188" s="64"/>
      <c r="AH188" s="74" t="s">
        <v>1256</v>
      </c>
      <c r="AI188" s="73">
        <f t="shared" ca="1" si="493"/>
        <v>0</v>
      </c>
      <c r="AJ188" s="64"/>
      <c r="AK188" s="74" t="s">
        <v>1256</v>
      </c>
      <c r="AL188" s="73">
        <f t="shared" ca="1" si="494"/>
        <v>0</v>
      </c>
      <c r="AM188" s="64"/>
      <c r="AN188" s="74"/>
      <c r="AO188" s="73">
        <f t="shared" ca="1" si="495"/>
        <v>0</v>
      </c>
      <c r="AP188" s="64"/>
      <c r="AQ188" s="74"/>
      <c r="AR188" s="73">
        <f t="shared" ca="1" si="496"/>
        <v>0</v>
      </c>
      <c r="AS188" s="64"/>
      <c r="AT188" s="74"/>
      <c r="AU188" s="73">
        <f t="shared" ca="1" si="497"/>
        <v>0</v>
      </c>
      <c r="AV188" s="64"/>
      <c r="AW188" s="74"/>
      <c r="AX188" s="73">
        <f t="shared" ca="1" si="498"/>
        <v>0</v>
      </c>
      <c r="AY188" s="64"/>
      <c r="AZ188" s="74"/>
      <c r="BA188" s="73">
        <f t="shared" ca="1" si="499"/>
        <v>0</v>
      </c>
      <c r="BB188" s="64"/>
      <c r="BC188" s="74"/>
      <c r="BD188" s="73">
        <f t="shared" ca="1" si="500"/>
        <v>0</v>
      </c>
      <c r="BE188" s="64"/>
      <c r="BF188" s="74"/>
      <c r="BG188" s="73">
        <f t="shared" ca="1" si="501"/>
        <v>0</v>
      </c>
      <c r="BH188" s="64"/>
      <c r="BI188" s="74"/>
      <c r="BJ188" s="73">
        <f t="shared" ca="1" si="502"/>
        <v>0</v>
      </c>
      <c r="BK188" s="64"/>
      <c r="BL188" s="74"/>
      <c r="BM188" s="73">
        <f t="shared" ca="1" si="503"/>
        <v>0</v>
      </c>
      <c r="BN188" s="64"/>
      <c r="BO188" s="74"/>
      <c r="BP188" s="73">
        <f t="shared" ca="1" si="504"/>
        <v>0</v>
      </c>
      <c r="BQ188" s="64"/>
      <c r="BR188" s="74"/>
      <c r="BS188" s="73">
        <f t="shared" ca="1" si="505"/>
        <v>0</v>
      </c>
      <c r="BT188" s="64"/>
      <c r="BU188" s="74"/>
      <c r="BV188" s="73">
        <f t="shared" ca="1" si="506"/>
        <v>0</v>
      </c>
      <c r="BW188" s="64"/>
      <c r="BX188" s="74"/>
      <c r="BY188" s="73">
        <f t="shared" ca="1" si="507"/>
        <v>0</v>
      </c>
      <c r="BZ188" s="64"/>
      <c r="CA188" s="74"/>
      <c r="CB188" s="73">
        <f t="shared" ca="1" si="508"/>
        <v>0</v>
      </c>
      <c r="CC188" s="64"/>
      <c r="CD188" s="74"/>
      <c r="CE188" s="73">
        <f t="shared" ca="1" si="509"/>
        <v>0</v>
      </c>
      <c r="CF188" s="64"/>
      <c r="CG188" s="74"/>
      <c r="CH188" s="73">
        <f t="shared" ca="1" si="510"/>
        <v>0</v>
      </c>
      <c r="CI188" s="64"/>
      <c r="CJ188" s="74"/>
      <c r="CK188" s="73">
        <f t="shared" ca="1" si="511"/>
        <v>0</v>
      </c>
      <c r="CL188" s="64"/>
      <c r="CM188" s="74"/>
      <c r="CN188" s="73">
        <f t="shared" ca="1" si="512"/>
        <v>0</v>
      </c>
      <c r="CO188" s="64"/>
      <c r="CP188" s="64"/>
    </row>
    <row r="189" spans="1:94">
      <c r="A189" s="25"/>
      <c r="B189" s="25"/>
      <c r="C189" s="25"/>
      <c r="D189" s="25"/>
      <c r="E189" s="25"/>
      <c r="F189" s="407">
        <f t="shared" si="513"/>
        <v>3</v>
      </c>
      <c r="G189" s="407">
        <f ca="1">VLOOKUP(H189,Equipos!$Q$1:$R$25,2,0)</f>
        <v>20</v>
      </c>
      <c r="H189" s="446" t="str">
        <f>Idiomas!$D$260</f>
        <v>Dieciseisavos de final</v>
      </c>
      <c r="I189" s="50"/>
      <c r="J189" s="846"/>
      <c r="K189" s="56" t="str">
        <f>Idiomas!$D$199&amp;"-"&amp;ROWS($L$182:L189)</f>
        <v>Octavofinalista-8</v>
      </c>
      <c r="L189" s="53"/>
      <c r="M189" s="55" t="str">
        <f>WORLDCUP!AA127</f>
        <v>W85</v>
      </c>
      <c r="N189" s="25"/>
      <c r="O189" s="25"/>
      <c r="P189" s="25"/>
      <c r="Q189" s="25"/>
      <c r="R189" s="110"/>
      <c r="S189" s="74" t="s">
        <v>75</v>
      </c>
      <c r="T189" s="73">
        <f t="shared" ca="1" si="490"/>
        <v>0</v>
      </c>
      <c r="U189" s="64"/>
      <c r="V189" s="74" t="s">
        <v>75</v>
      </c>
      <c r="W189" s="73">
        <f t="shared" ca="1" si="491"/>
        <v>0</v>
      </c>
      <c r="X189" s="64"/>
      <c r="Y189" s="74" t="s">
        <v>75</v>
      </c>
      <c r="Z189" s="73">
        <f t="shared" ca="1" si="492"/>
        <v>0</v>
      </c>
      <c r="AA189" s="64"/>
      <c r="AB189" s="74" t="s">
        <v>75</v>
      </c>
      <c r="AC189" s="73">
        <f ca="1">COUNTIF($M$182:$M$197,AB189)*$D$19</f>
        <v>0</v>
      </c>
      <c r="AD189" s="64"/>
      <c r="AE189" s="74" t="s">
        <v>75</v>
      </c>
      <c r="AF189" s="73">
        <f ca="1">COUNTIF($M$182:$M$197,AE189)*$D$19</f>
        <v>0</v>
      </c>
      <c r="AG189" s="64"/>
      <c r="AH189" s="74" t="s">
        <v>75</v>
      </c>
      <c r="AI189" s="73">
        <f t="shared" ca="1" si="493"/>
        <v>0</v>
      </c>
      <c r="AJ189" s="64"/>
      <c r="AK189" s="74" t="s">
        <v>75</v>
      </c>
      <c r="AL189" s="73">
        <f t="shared" ca="1" si="494"/>
        <v>0</v>
      </c>
      <c r="AM189" s="64"/>
      <c r="AN189" s="74"/>
      <c r="AO189" s="73">
        <f t="shared" ca="1" si="495"/>
        <v>0</v>
      </c>
      <c r="AP189" s="64"/>
      <c r="AQ189" s="74"/>
      <c r="AR189" s="73">
        <f t="shared" ca="1" si="496"/>
        <v>0</v>
      </c>
      <c r="AS189" s="64"/>
      <c r="AT189" s="74"/>
      <c r="AU189" s="73">
        <f t="shared" ca="1" si="497"/>
        <v>0</v>
      </c>
      <c r="AV189" s="64"/>
      <c r="AW189" s="74"/>
      <c r="AX189" s="73">
        <f t="shared" ca="1" si="498"/>
        <v>0</v>
      </c>
      <c r="AY189" s="64"/>
      <c r="AZ189" s="74"/>
      <c r="BA189" s="73">
        <f t="shared" ca="1" si="499"/>
        <v>0</v>
      </c>
      <c r="BB189" s="64"/>
      <c r="BC189" s="74"/>
      <c r="BD189" s="73">
        <f t="shared" ca="1" si="500"/>
        <v>0</v>
      </c>
      <c r="BE189" s="64"/>
      <c r="BF189" s="74"/>
      <c r="BG189" s="73">
        <f t="shared" ca="1" si="501"/>
        <v>0</v>
      </c>
      <c r="BH189" s="64"/>
      <c r="BI189" s="74"/>
      <c r="BJ189" s="73">
        <f t="shared" ca="1" si="502"/>
        <v>0</v>
      </c>
      <c r="BK189" s="64"/>
      <c r="BL189" s="74"/>
      <c r="BM189" s="73">
        <f t="shared" ca="1" si="503"/>
        <v>0</v>
      </c>
      <c r="BN189" s="64"/>
      <c r="BO189" s="74"/>
      <c r="BP189" s="73">
        <f t="shared" ca="1" si="504"/>
        <v>0</v>
      </c>
      <c r="BQ189" s="64"/>
      <c r="BR189" s="74"/>
      <c r="BS189" s="73">
        <f t="shared" ca="1" si="505"/>
        <v>0</v>
      </c>
      <c r="BT189" s="64"/>
      <c r="BU189" s="74"/>
      <c r="BV189" s="73">
        <f t="shared" ca="1" si="506"/>
        <v>0</v>
      </c>
      <c r="BW189" s="64"/>
      <c r="BX189" s="74"/>
      <c r="BY189" s="73">
        <f t="shared" ca="1" si="507"/>
        <v>0</v>
      </c>
      <c r="BZ189" s="64"/>
      <c r="CA189" s="74"/>
      <c r="CB189" s="73">
        <f t="shared" ca="1" si="508"/>
        <v>0</v>
      </c>
      <c r="CC189" s="64"/>
      <c r="CD189" s="74"/>
      <c r="CE189" s="73">
        <f t="shared" ca="1" si="509"/>
        <v>0</v>
      </c>
      <c r="CF189" s="64"/>
      <c r="CG189" s="74"/>
      <c r="CH189" s="73">
        <f t="shared" ca="1" si="510"/>
        <v>0</v>
      </c>
      <c r="CI189" s="64"/>
      <c r="CJ189" s="74"/>
      <c r="CK189" s="73">
        <f t="shared" ca="1" si="511"/>
        <v>0</v>
      </c>
      <c r="CL189" s="64"/>
      <c r="CM189" s="74"/>
      <c r="CN189" s="73">
        <f t="shared" ca="1" si="512"/>
        <v>0</v>
      </c>
      <c r="CO189" s="64"/>
      <c r="CP189" s="64"/>
    </row>
    <row r="190" spans="1:94">
      <c r="A190" s="25"/>
      <c r="B190" s="25"/>
      <c r="C190" s="25"/>
      <c r="D190" s="25"/>
      <c r="E190" s="25"/>
      <c r="F190" s="407">
        <f t="shared" si="513"/>
        <v>3</v>
      </c>
      <c r="G190" s="407">
        <f ca="1">VLOOKUP(H190,Equipos!$Q$1:$R$25,2,0)</f>
        <v>20</v>
      </c>
      <c r="H190" s="446" t="str">
        <f>Idiomas!$D$260</f>
        <v>Dieciseisavos de final</v>
      </c>
      <c r="I190" s="50"/>
      <c r="J190" s="846"/>
      <c r="K190" s="56" t="str">
        <f>Idiomas!$D$199&amp;"-"&amp;ROWS($L$182:L190)</f>
        <v>Octavofinalista-9</v>
      </c>
      <c r="L190" s="53"/>
      <c r="M190" s="55" t="str">
        <f>WORLDCUP!AF120</f>
        <v>W75</v>
      </c>
      <c r="N190" s="25"/>
      <c r="O190" s="25"/>
      <c r="P190" s="25"/>
      <c r="Q190" s="25"/>
      <c r="R190" s="110"/>
      <c r="S190" s="74" t="s">
        <v>1321</v>
      </c>
      <c r="T190" s="73">
        <f t="shared" ca="1" si="490"/>
        <v>0</v>
      </c>
      <c r="U190" s="64"/>
      <c r="V190" s="74" t="s">
        <v>111</v>
      </c>
      <c r="W190" s="73">
        <f t="shared" ca="1" si="491"/>
        <v>0</v>
      </c>
      <c r="X190" s="64"/>
      <c r="Y190" s="74" t="s">
        <v>111</v>
      </c>
      <c r="Z190" s="73">
        <f t="shared" ca="1" si="492"/>
        <v>0</v>
      </c>
      <c r="AA190" s="64"/>
      <c r="AB190" s="74" t="s">
        <v>111</v>
      </c>
      <c r="AC190" s="73">
        <f ca="1">COUNTIF($M$182:$M$197,AB190)*$D$19</f>
        <v>0</v>
      </c>
      <c r="AD190" s="64"/>
      <c r="AE190" s="74" t="s">
        <v>1321</v>
      </c>
      <c r="AF190" s="73">
        <f ca="1">COUNTIF($M$182:$M$197,AE190)*$D$19</f>
        <v>0</v>
      </c>
      <c r="AG190" s="64"/>
      <c r="AH190" s="74" t="s">
        <v>1321</v>
      </c>
      <c r="AI190" s="73">
        <f t="shared" ca="1" si="493"/>
        <v>0</v>
      </c>
      <c r="AJ190" s="64"/>
      <c r="AK190" s="74" t="s">
        <v>111</v>
      </c>
      <c r="AL190" s="73">
        <f t="shared" ca="1" si="494"/>
        <v>0</v>
      </c>
      <c r="AM190" s="64"/>
      <c r="AN190" s="74"/>
      <c r="AO190" s="73">
        <f t="shared" ca="1" si="495"/>
        <v>0</v>
      </c>
      <c r="AP190" s="64"/>
      <c r="AQ190" s="74"/>
      <c r="AR190" s="73">
        <f t="shared" ca="1" si="496"/>
        <v>0</v>
      </c>
      <c r="AS190" s="64"/>
      <c r="AT190" s="74"/>
      <c r="AU190" s="73">
        <f t="shared" ca="1" si="497"/>
        <v>0</v>
      </c>
      <c r="AV190" s="64"/>
      <c r="AW190" s="74"/>
      <c r="AX190" s="73">
        <f t="shared" ca="1" si="498"/>
        <v>0</v>
      </c>
      <c r="AY190" s="64"/>
      <c r="AZ190" s="74"/>
      <c r="BA190" s="73">
        <f t="shared" ca="1" si="499"/>
        <v>0</v>
      </c>
      <c r="BB190" s="64"/>
      <c r="BC190" s="74"/>
      <c r="BD190" s="73">
        <f t="shared" ca="1" si="500"/>
        <v>0</v>
      </c>
      <c r="BE190" s="64"/>
      <c r="BF190" s="74"/>
      <c r="BG190" s="73">
        <f t="shared" ca="1" si="501"/>
        <v>0</v>
      </c>
      <c r="BH190" s="64"/>
      <c r="BI190" s="74"/>
      <c r="BJ190" s="73">
        <f t="shared" ca="1" si="502"/>
        <v>0</v>
      </c>
      <c r="BK190" s="64"/>
      <c r="BL190" s="74"/>
      <c r="BM190" s="73">
        <f t="shared" ca="1" si="503"/>
        <v>0</v>
      </c>
      <c r="BN190" s="64"/>
      <c r="BO190" s="74"/>
      <c r="BP190" s="73">
        <f t="shared" ca="1" si="504"/>
        <v>0</v>
      </c>
      <c r="BQ190" s="64"/>
      <c r="BR190" s="74"/>
      <c r="BS190" s="73">
        <f t="shared" ca="1" si="505"/>
        <v>0</v>
      </c>
      <c r="BT190" s="64"/>
      <c r="BU190" s="74"/>
      <c r="BV190" s="73">
        <f t="shared" ca="1" si="506"/>
        <v>0</v>
      </c>
      <c r="BW190" s="64"/>
      <c r="BX190" s="74"/>
      <c r="BY190" s="73">
        <f t="shared" ca="1" si="507"/>
        <v>0</v>
      </c>
      <c r="BZ190" s="64"/>
      <c r="CA190" s="74"/>
      <c r="CB190" s="73">
        <f t="shared" ca="1" si="508"/>
        <v>0</v>
      </c>
      <c r="CC190" s="64"/>
      <c r="CD190" s="74"/>
      <c r="CE190" s="73">
        <f t="shared" ca="1" si="509"/>
        <v>0</v>
      </c>
      <c r="CF190" s="64"/>
      <c r="CG190" s="74"/>
      <c r="CH190" s="73">
        <f t="shared" ca="1" si="510"/>
        <v>0</v>
      </c>
      <c r="CI190" s="64"/>
      <c r="CJ190" s="74"/>
      <c r="CK190" s="73">
        <f t="shared" ca="1" si="511"/>
        <v>0</v>
      </c>
      <c r="CL190" s="64"/>
      <c r="CM190" s="74"/>
      <c r="CN190" s="73">
        <f t="shared" ca="1" si="512"/>
        <v>0</v>
      </c>
      <c r="CO190" s="64"/>
      <c r="CP190" s="64"/>
    </row>
    <row r="191" spans="1:94">
      <c r="A191" s="25"/>
      <c r="B191" s="25"/>
      <c r="C191" s="25"/>
      <c r="D191" s="25"/>
      <c r="E191" s="25"/>
      <c r="F191" s="407">
        <f t="shared" si="513"/>
        <v>3</v>
      </c>
      <c r="G191" s="407">
        <f ca="1">VLOOKUP(H191,Equipos!$Q$1:$R$25,2,0)</f>
        <v>20</v>
      </c>
      <c r="H191" s="446" t="str">
        <f>Idiomas!$D$260</f>
        <v>Dieciseisavos de final</v>
      </c>
      <c r="I191" s="50"/>
      <c r="J191" s="846"/>
      <c r="K191" s="56" t="str">
        <f>Idiomas!$D$199&amp;"-"&amp;ROWS($L$182:L191)</f>
        <v>Octavofinalista-10</v>
      </c>
      <c r="L191" s="53"/>
      <c r="M191" s="55" t="str">
        <f>WORLDCUP!AF121</f>
        <v>W77</v>
      </c>
      <c r="N191" s="25"/>
      <c r="O191" s="25"/>
      <c r="P191" s="25"/>
      <c r="Q191" s="25"/>
      <c r="R191" s="110"/>
      <c r="S191" s="74" t="s">
        <v>74</v>
      </c>
      <c r="T191" s="73">
        <f t="shared" ca="1" si="490"/>
        <v>0</v>
      </c>
      <c r="U191" s="64"/>
      <c r="V191" s="74" t="s">
        <v>74</v>
      </c>
      <c r="W191" s="73">
        <f t="shared" ca="1" si="491"/>
        <v>0</v>
      </c>
      <c r="X191" s="64"/>
      <c r="Y191" s="74" t="s">
        <v>74</v>
      </c>
      <c r="Z191" s="73">
        <f t="shared" ca="1" si="492"/>
        <v>0</v>
      </c>
      <c r="AA191" s="64"/>
      <c r="AB191" s="74" t="s">
        <v>74</v>
      </c>
      <c r="AC191" s="73">
        <f ca="1">COUNTIF($M$182:$M$197,AB191)*$D$19</f>
        <v>0</v>
      </c>
      <c r="AD191" s="64"/>
      <c r="AE191" s="74" t="s">
        <v>74</v>
      </c>
      <c r="AF191" s="73">
        <f ca="1">COUNTIF($M$182:$M$197,AE191)*$D$19</f>
        <v>0</v>
      </c>
      <c r="AG191" s="64"/>
      <c r="AH191" s="74" t="s">
        <v>74</v>
      </c>
      <c r="AI191" s="73">
        <f t="shared" ca="1" si="493"/>
        <v>0</v>
      </c>
      <c r="AJ191" s="64"/>
      <c r="AK191" s="74" t="s">
        <v>74</v>
      </c>
      <c r="AL191" s="73">
        <f t="shared" ca="1" si="494"/>
        <v>0</v>
      </c>
      <c r="AM191" s="64"/>
      <c r="AN191" s="74"/>
      <c r="AO191" s="73">
        <f t="shared" ca="1" si="495"/>
        <v>0</v>
      </c>
      <c r="AP191" s="64"/>
      <c r="AQ191" s="74"/>
      <c r="AR191" s="73">
        <f t="shared" ca="1" si="496"/>
        <v>0</v>
      </c>
      <c r="AS191" s="64"/>
      <c r="AT191" s="74"/>
      <c r="AU191" s="73">
        <f t="shared" ca="1" si="497"/>
        <v>0</v>
      </c>
      <c r="AV191" s="64"/>
      <c r="AW191" s="74"/>
      <c r="AX191" s="73">
        <f t="shared" ca="1" si="498"/>
        <v>0</v>
      </c>
      <c r="AY191" s="64"/>
      <c r="AZ191" s="74"/>
      <c r="BA191" s="73">
        <f t="shared" ca="1" si="499"/>
        <v>0</v>
      </c>
      <c r="BB191" s="64"/>
      <c r="BC191" s="74"/>
      <c r="BD191" s="73">
        <f t="shared" ca="1" si="500"/>
        <v>0</v>
      </c>
      <c r="BE191" s="64"/>
      <c r="BF191" s="74"/>
      <c r="BG191" s="73">
        <f t="shared" ca="1" si="501"/>
        <v>0</v>
      </c>
      <c r="BH191" s="64"/>
      <c r="BI191" s="74"/>
      <c r="BJ191" s="73">
        <f t="shared" ca="1" si="502"/>
        <v>0</v>
      </c>
      <c r="BK191" s="64"/>
      <c r="BL191" s="74"/>
      <c r="BM191" s="73">
        <f t="shared" ca="1" si="503"/>
        <v>0</v>
      </c>
      <c r="BN191" s="64"/>
      <c r="BO191" s="74"/>
      <c r="BP191" s="73">
        <f t="shared" ca="1" si="504"/>
        <v>0</v>
      </c>
      <c r="BQ191" s="64"/>
      <c r="BR191" s="74"/>
      <c r="BS191" s="73">
        <f t="shared" ca="1" si="505"/>
        <v>0</v>
      </c>
      <c r="BT191" s="64"/>
      <c r="BU191" s="74"/>
      <c r="BV191" s="73">
        <f t="shared" ca="1" si="506"/>
        <v>0</v>
      </c>
      <c r="BW191" s="64"/>
      <c r="BX191" s="74"/>
      <c r="BY191" s="73">
        <f t="shared" ca="1" si="507"/>
        <v>0</v>
      </c>
      <c r="BZ191" s="64"/>
      <c r="CA191" s="74"/>
      <c r="CB191" s="73">
        <f t="shared" ca="1" si="508"/>
        <v>0</v>
      </c>
      <c r="CC191" s="64"/>
      <c r="CD191" s="74"/>
      <c r="CE191" s="73">
        <f t="shared" ca="1" si="509"/>
        <v>0</v>
      </c>
      <c r="CF191" s="64"/>
      <c r="CG191" s="74"/>
      <c r="CH191" s="73">
        <f t="shared" ca="1" si="510"/>
        <v>0</v>
      </c>
      <c r="CI191" s="64"/>
      <c r="CJ191" s="74"/>
      <c r="CK191" s="73">
        <f t="shared" ca="1" si="511"/>
        <v>0</v>
      </c>
      <c r="CL191" s="64"/>
      <c r="CM191" s="74"/>
      <c r="CN191" s="73">
        <f t="shared" ca="1" si="512"/>
        <v>0</v>
      </c>
      <c r="CO191" s="64"/>
      <c r="CP191" s="64"/>
    </row>
    <row r="192" spans="1:94">
      <c r="A192" s="25"/>
      <c r="B192" s="25"/>
      <c r="C192" s="25"/>
      <c r="D192" s="25"/>
      <c r="E192" s="25"/>
      <c r="F192" s="407">
        <f t="shared" si="513"/>
        <v>3</v>
      </c>
      <c r="G192" s="407">
        <f ca="1">VLOOKUP(H192,Equipos!$Q$1:$R$25,2,0)</f>
        <v>20</v>
      </c>
      <c r="H192" s="446" t="str">
        <f>Idiomas!$D$260</f>
        <v>Dieciseisavos de final</v>
      </c>
      <c r="I192" s="50"/>
      <c r="J192" s="846"/>
      <c r="K192" s="56" t="str">
        <f>Idiomas!$D$199&amp;"-"&amp;ROWS($L$182:L192)</f>
        <v>Octavofinalista-11</v>
      </c>
      <c r="L192" s="53"/>
      <c r="M192" s="55" t="str">
        <f>WORLDCUP!AF122</f>
        <v>W78</v>
      </c>
      <c r="N192" s="25"/>
      <c r="O192" s="25"/>
      <c r="P192" s="25"/>
      <c r="Q192" s="25"/>
      <c r="R192" s="110"/>
      <c r="S192" s="74" t="s">
        <v>135</v>
      </c>
      <c r="T192" s="73">
        <f t="shared" ca="1" si="490"/>
        <v>0</v>
      </c>
      <c r="U192" s="64"/>
      <c r="V192" s="74" t="s">
        <v>135</v>
      </c>
      <c r="W192" s="73">
        <f t="shared" ca="1" si="491"/>
        <v>0</v>
      </c>
      <c r="X192" s="64"/>
      <c r="Y192" s="74" t="s">
        <v>135</v>
      </c>
      <c r="Z192" s="73">
        <f t="shared" ca="1" si="492"/>
        <v>0</v>
      </c>
      <c r="AA192" s="64"/>
      <c r="AB192" s="74" t="s">
        <v>135</v>
      </c>
      <c r="AC192" s="73">
        <f ca="1">COUNTIF($M$182:$M$197,AB192)*$D$19</f>
        <v>0</v>
      </c>
      <c r="AD192" s="64"/>
      <c r="AE192" s="74" t="s">
        <v>135</v>
      </c>
      <c r="AF192" s="73">
        <f ca="1">COUNTIF($M$182:$M$197,AE192)*$D$19</f>
        <v>0</v>
      </c>
      <c r="AG192" s="64"/>
      <c r="AH192" s="74" t="s">
        <v>135</v>
      </c>
      <c r="AI192" s="73">
        <f t="shared" ca="1" si="493"/>
        <v>0</v>
      </c>
      <c r="AJ192" s="64"/>
      <c r="AK192" s="74" t="s">
        <v>135</v>
      </c>
      <c r="AL192" s="73">
        <f t="shared" ca="1" si="494"/>
        <v>0</v>
      </c>
      <c r="AM192" s="64"/>
      <c r="AN192" s="74"/>
      <c r="AO192" s="73">
        <f t="shared" ca="1" si="495"/>
        <v>0</v>
      </c>
      <c r="AP192" s="64"/>
      <c r="AQ192" s="74"/>
      <c r="AR192" s="73">
        <f t="shared" ca="1" si="496"/>
        <v>0</v>
      </c>
      <c r="AS192" s="64"/>
      <c r="AT192" s="74"/>
      <c r="AU192" s="73">
        <f t="shared" ca="1" si="497"/>
        <v>0</v>
      </c>
      <c r="AV192" s="64"/>
      <c r="AW192" s="74"/>
      <c r="AX192" s="73">
        <f t="shared" ca="1" si="498"/>
        <v>0</v>
      </c>
      <c r="AY192" s="64"/>
      <c r="AZ192" s="74"/>
      <c r="BA192" s="73">
        <f t="shared" ca="1" si="499"/>
        <v>0</v>
      </c>
      <c r="BB192" s="64"/>
      <c r="BC192" s="74"/>
      <c r="BD192" s="73">
        <f t="shared" ca="1" si="500"/>
        <v>0</v>
      </c>
      <c r="BE192" s="64"/>
      <c r="BF192" s="74"/>
      <c r="BG192" s="73">
        <f t="shared" ca="1" si="501"/>
        <v>0</v>
      </c>
      <c r="BH192" s="64"/>
      <c r="BI192" s="74"/>
      <c r="BJ192" s="73">
        <f t="shared" ca="1" si="502"/>
        <v>0</v>
      </c>
      <c r="BK192" s="64"/>
      <c r="BL192" s="74"/>
      <c r="BM192" s="73">
        <f t="shared" ca="1" si="503"/>
        <v>0</v>
      </c>
      <c r="BN192" s="64"/>
      <c r="BO192" s="74"/>
      <c r="BP192" s="73">
        <f t="shared" ca="1" si="504"/>
        <v>0</v>
      </c>
      <c r="BQ192" s="64"/>
      <c r="BR192" s="74"/>
      <c r="BS192" s="73">
        <f t="shared" ca="1" si="505"/>
        <v>0</v>
      </c>
      <c r="BT192" s="64"/>
      <c r="BU192" s="74"/>
      <c r="BV192" s="73">
        <f t="shared" ca="1" si="506"/>
        <v>0</v>
      </c>
      <c r="BW192" s="64"/>
      <c r="BX192" s="74"/>
      <c r="BY192" s="73">
        <f t="shared" ca="1" si="507"/>
        <v>0</v>
      </c>
      <c r="BZ192" s="64"/>
      <c r="CA192" s="74"/>
      <c r="CB192" s="73">
        <f t="shared" ca="1" si="508"/>
        <v>0</v>
      </c>
      <c r="CC192" s="64"/>
      <c r="CD192" s="74"/>
      <c r="CE192" s="73">
        <f t="shared" ca="1" si="509"/>
        <v>0</v>
      </c>
      <c r="CF192" s="64"/>
      <c r="CG192" s="74"/>
      <c r="CH192" s="73">
        <f t="shared" ca="1" si="510"/>
        <v>0</v>
      </c>
      <c r="CI192" s="64"/>
      <c r="CJ192" s="74"/>
      <c r="CK192" s="73">
        <f t="shared" ca="1" si="511"/>
        <v>0</v>
      </c>
      <c r="CL192" s="64"/>
      <c r="CM192" s="74"/>
      <c r="CN192" s="73">
        <f t="shared" ca="1" si="512"/>
        <v>0</v>
      </c>
      <c r="CO192" s="64"/>
      <c r="CP192" s="64"/>
    </row>
    <row r="193" spans="1:94">
      <c r="A193" s="25"/>
      <c r="B193" s="25"/>
      <c r="C193" s="25"/>
      <c r="D193" s="25"/>
      <c r="E193" s="25"/>
      <c r="F193" s="407">
        <f t="shared" si="513"/>
        <v>3</v>
      </c>
      <c r="G193" s="407">
        <f ca="1">VLOOKUP(H193,Equipos!$Q$1:$R$25,2,0)</f>
        <v>20</v>
      </c>
      <c r="H193" s="446" t="str">
        <f>Idiomas!$D$260</f>
        <v>Dieciseisavos de final</v>
      </c>
      <c r="I193" s="50"/>
      <c r="J193" s="846"/>
      <c r="K193" s="56" t="str">
        <f>Idiomas!$D$199&amp;"-"&amp;ROWS($L$182:L193)</f>
        <v>Octavofinalista-12</v>
      </c>
      <c r="L193" s="53"/>
      <c r="M193" s="55" t="str">
        <f>WORLDCUP!AF123</f>
        <v>W80</v>
      </c>
      <c r="N193" s="25"/>
      <c r="O193" s="25"/>
      <c r="P193" s="25"/>
      <c r="Q193" s="25"/>
      <c r="R193" s="110"/>
      <c r="S193" s="74" t="s">
        <v>76</v>
      </c>
      <c r="T193" s="73">
        <f t="shared" ca="1" si="490"/>
        <v>0</v>
      </c>
      <c r="U193" s="64"/>
      <c r="V193" s="74" t="s">
        <v>76</v>
      </c>
      <c r="W193" s="73">
        <f t="shared" ca="1" si="491"/>
        <v>0</v>
      </c>
      <c r="X193" s="64"/>
      <c r="Y193" s="74" t="s">
        <v>76</v>
      </c>
      <c r="Z193" s="73">
        <f t="shared" ca="1" si="492"/>
        <v>0</v>
      </c>
      <c r="AA193" s="64"/>
      <c r="AB193" s="74" t="s">
        <v>76</v>
      </c>
      <c r="AC193" s="73">
        <f ca="1">COUNTIF($M$182:$M$197,AB193)*$D$19</f>
        <v>0</v>
      </c>
      <c r="AD193" s="64"/>
      <c r="AE193" s="74" t="s">
        <v>76</v>
      </c>
      <c r="AF193" s="73">
        <f ca="1">COUNTIF($M$182:$M$197,AE193)*$D$19</f>
        <v>0</v>
      </c>
      <c r="AG193" s="64"/>
      <c r="AH193" s="74" t="s">
        <v>76</v>
      </c>
      <c r="AI193" s="73">
        <f t="shared" ca="1" si="493"/>
        <v>0</v>
      </c>
      <c r="AJ193" s="64"/>
      <c r="AK193" s="74" t="s">
        <v>76</v>
      </c>
      <c r="AL193" s="73">
        <f t="shared" ca="1" si="494"/>
        <v>0</v>
      </c>
      <c r="AM193" s="64"/>
      <c r="AN193" s="74"/>
      <c r="AO193" s="73">
        <f t="shared" ca="1" si="495"/>
        <v>0</v>
      </c>
      <c r="AP193" s="64"/>
      <c r="AQ193" s="74"/>
      <c r="AR193" s="73">
        <f t="shared" ca="1" si="496"/>
        <v>0</v>
      </c>
      <c r="AS193" s="64"/>
      <c r="AT193" s="74"/>
      <c r="AU193" s="73">
        <f t="shared" ca="1" si="497"/>
        <v>0</v>
      </c>
      <c r="AV193" s="64"/>
      <c r="AW193" s="74"/>
      <c r="AX193" s="73">
        <f t="shared" ca="1" si="498"/>
        <v>0</v>
      </c>
      <c r="AY193" s="64"/>
      <c r="AZ193" s="74"/>
      <c r="BA193" s="73">
        <f t="shared" ca="1" si="499"/>
        <v>0</v>
      </c>
      <c r="BB193" s="64"/>
      <c r="BC193" s="74"/>
      <c r="BD193" s="73">
        <f t="shared" ca="1" si="500"/>
        <v>0</v>
      </c>
      <c r="BE193" s="64"/>
      <c r="BF193" s="74"/>
      <c r="BG193" s="73">
        <f t="shared" ca="1" si="501"/>
        <v>0</v>
      </c>
      <c r="BH193" s="64"/>
      <c r="BI193" s="74"/>
      <c r="BJ193" s="73">
        <f t="shared" ca="1" si="502"/>
        <v>0</v>
      </c>
      <c r="BK193" s="64"/>
      <c r="BL193" s="74"/>
      <c r="BM193" s="73">
        <f t="shared" ca="1" si="503"/>
        <v>0</v>
      </c>
      <c r="BN193" s="64"/>
      <c r="BO193" s="74"/>
      <c r="BP193" s="73">
        <f t="shared" ca="1" si="504"/>
        <v>0</v>
      </c>
      <c r="BQ193" s="64"/>
      <c r="BR193" s="74"/>
      <c r="BS193" s="73">
        <f t="shared" ca="1" si="505"/>
        <v>0</v>
      </c>
      <c r="BT193" s="64"/>
      <c r="BU193" s="74"/>
      <c r="BV193" s="73">
        <f t="shared" ca="1" si="506"/>
        <v>0</v>
      </c>
      <c r="BW193" s="64"/>
      <c r="BX193" s="74"/>
      <c r="BY193" s="73">
        <f t="shared" ca="1" si="507"/>
        <v>0</v>
      </c>
      <c r="BZ193" s="64"/>
      <c r="CA193" s="74"/>
      <c r="CB193" s="73">
        <f t="shared" ca="1" si="508"/>
        <v>0</v>
      </c>
      <c r="CC193" s="64"/>
      <c r="CD193" s="74"/>
      <c r="CE193" s="73">
        <f t="shared" ca="1" si="509"/>
        <v>0</v>
      </c>
      <c r="CF193" s="64"/>
      <c r="CG193" s="74"/>
      <c r="CH193" s="73">
        <f t="shared" ca="1" si="510"/>
        <v>0</v>
      </c>
      <c r="CI193" s="64"/>
      <c r="CJ193" s="74"/>
      <c r="CK193" s="73">
        <f t="shared" ca="1" si="511"/>
        <v>0</v>
      </c>
      <c r="CL193" s="64"/>
      <c r="CM193" s="74"/>
      <c r="CN193" s="73">
        <f t="shared" ca="1" si="512"/>
        <v>0</v>
      </c>
      <c r="CO193" s="64"/>
      <c r="CP193" s="64"/>
    </row>
    <row r="194" spans="1:94">
      <c r="A194" s="25"/>
      <c r="B194" s="25"/>
      <c r="C194" s="25"/>
      <c r="D194" s="25"/>
      <c r="E194" s="25"/>
      <c r="F194" s="407">
        <f t="shared" si="513"/>
        <v>3</v>
      </c>
      <c r="G194" s="407">
        <f ca="1">VLOOKUP(H194,Equipos!$Q$1:$R$25,2,0)</f>
        <v>20</v>
      </c>
      <c r="H194" s="446" t="str">
        <f>Idiomas!$D$260</f>
        <v>Dieciseisavos de final</v>
      </c>
      <c r="I194" s="50"/>
      <c r="J194" s="846"/>
      <c r="K194" s="56" t="str">
        <f>Idiomas!$D$199&amp;"-"&amp;ROWS($L$182:L194)</f>
        <v>Octavofinalista-13</v>
      </c>
      <c r="L194" s="53"/>
      <c r="M194" s="55" t="str">
        <f>WORLDCUP!AF124</f>
        <v>W84</v>
      </c>
      <c r="N194" s="25"/>
      <c r="O194" s="25"/>
      <c r="P194" s="25"/>
      <c r="Q194" s="25"/>
      <c r="R194" s="110"/>
      <c r="S194" s="74" t="s">
        <v>38</v>
      </c>
      <c r="T194" s="73">
        <f t="shared" ca="1" si="490"/>
        <v>0</v>
      </c>
      <c r="U194" s="64"/>
      <c r="V194" s="74" t="s">
        <v>38</v>
      </c>
      <c r="W194" s="73">
        <f t="shared" ca="1" si="491"/>
        <v>0</v>
      </c>
      <c r="X194" s="64"/>
      <c r="Y194" s="74" t="s">
        <v>38</v>
      </c>
      <c r="Z194" s="73">
        <f t="shared" ca="1" si="492"/>
        <v>0</v>
      </c>
      <c r="AA194" s="64"/>
      <c r="AB194" s="74" t="s">
        <v>38</v>
      </c>
      <c r="AC194" s="73">
        <f ca="1">COUNTIF($M$182:$M$197,AB194)*$D$19</f>
        <v>0</v>
      </c>
      <c r="AD194" s="64"/>
      <c r="AE194" s="74" t="s">
        <v>38</v>
      </c>
      <c r="AF194" s="73">
        <f ca="1">COUNTIF($M$182:$M$197,AE194)*$D$19</f>
        <v>0</v>
      </c>
      <c r="AG194" s="64"/>
      <c r="AH194" s="74" t="s">
        <v>38</v>
      </c>
      <c r="AI194" s="73">
        <f t="shared" ca="1" si="493"/>
        <v>0</v>
      </c>
      <c r="AJ194" s="64"/>
      <c r="AK194" s="74" t="s">
        <v>38</v>
      </c>
      <c r="AL194" s="73">
        <f t="shared" ca="1" si="494"/>
        <v>0</v>
      </c>
      <c r="AM194" s="64"/>
      <c r="AN194" s="74"/>
      <c r="AO194" s="73">
        <f t="shared" ca="1" si="495"/>
        <v>0</v>
      </c>
      <c r="AP194" s="64"/>
      <c r="AQ194" s="74"/>
      <c r="AR194" s="73">
        <f t="shared" ca="1" si="496"/>
        <v>0</v>
      </c>
      <c r="AS194" s="64"/>
      <c r="AT194" s="74"/>
      <c r="AU194" s="73">
        <f t="shared" ca="1" si="497"/>
        <v>0</v>
      </c>
      <c r="AV194" s="64"/>
      <c r="AW194" s="74"/>
      <c r="AX194" s="73">
        <f t="shared" ca="1" si="498"/>
        <v>0</v>
      </c>
      <c r="AY194" s="64"/>
      <c r="AZ194" s="74"/>
      <c r="BA194" s="73">
        <f t="shared" ca="1" si="499"/>
        <v>0</v>
      </c>
      <c r="BB194" s="64"/>
      <c r="BC194" s="74"/>
      <c r="BD194" s="73">
        <f t="shared" ca="1" si="500"/>
        <v>0</v>
      </c>
      <c r="BE194" s="64"/>
      <c r="BF194" s="74"/>
      <c r="BG194" s="73">
        <f t="shared" ca="1" si="501"/>
        <v>0</v>
      </c>
      <c r="BH194" s="64"/>
      <c r="BI194" s="74"/>
      <c r="BJ194" s="73">
        <f t="shared" ca="1" si="502"/>
        <v>0</v>
      </c>
      <c r="BK194" s="64"/>
      <c r="BL194" s="74"/>
      <c r="BM194" s="73">
        <f t="shared" ca="1" si="503"/>
        <v>0</v>
      </c>
      <c r="BN194" s="64"/>
      <c r="BO194" s="74"/>
      <c r="BP194" s="73">
        <f t="shared" ca="1" si="504"/>
        <v>0</v>
      </c>
      <c r="BQ194" s="64"/>
      <c r="BR194" s="74"/>
      <c r="BS194" s="73">
        <f t="shared" ca="1" si="505"/>
        <v>0</v>
      </c>
      <c r="BT194" s="64"/>
      <c r="BU194" s="74"/>
      <c r="BV194" s="73">
        <f t="shared" ca="1" si="506"/>
        <v>0</v>
      </c>
      <c r="BW194" s="64"/>
      <c r="BX194" s="74"/>
      <c r="BY194" s="73">
        <f t="shared" ca="1" si="507"/>
        <v>0</v>
      </c>
      <c r="BZ194" s="64"/>
      <c r="CA194" s="74"/>
      <c r="CB194" s="73">
        <f t="shared" ca="1" si="508"/>
        <v>0</v>
      </c>
      <c r="CC194" s="64"/>
      <c r="CD194" s="74"/>
      <c r="CE194" s="73">
        <f t="shared" ca="1" si="509"/>
        <v>0</v>
      </c>
      <c r="CF194" s="64"/>
      <c r="CG194" s="74"/>
      <c r="CH194" s="73">
        <f t="shared" ca="1" si="510"/>
        <v>0</v>
      </c>
      <c r="CI194" s="64"/>
      <c r="CJ194" s="74"/>
      <c r="CK194" s="73">
        <f t="shared" ca="1" si="511"/>
        <v>0</v>
      </c>
      <c r="CL194" s="64"/>
      <c r="CM194" s="74"/>
      <c r="CN194" s="73">
        <f t="shared" ca="1" si="512"/>
        <v>0</v>
      </c>
      <c r="CO194" s="64"/>
      <c r="CP194" s="64"/>
    </row>
    <row r="195" spans="1:94">
      <c r="A195" s="25"/>
      <c r="B195" s="25"/>
      <c r="C195" s="25"/>
      <c r="D195" s="25"/>
      <c r="E195" s="25"/>
      <c r="F195" s="407">
        <f t="shared" si="513"/>
        <v>3</v>
      </c>
      <c r="G195" s="407">
        <f ca="1">VLOOKUP(H195,Equipos!$Q$1:$R$25,2,0)</f>
        <v>20</v>
      </c>
      <c r="H195" s="446" t="str">
        <f>Idiomas!$D$260</f>
        <v>Dieciseisavos de final</v>
      </c>
      <c r="I195" s="50"/>
      <c r="J195" s="846"/>
      <c r="K195" s="56" t="str">
        <f>Idiomas!$D$199&amp;"-"&amp;ROWS($L$182:L195)</f>
        <v>Octavofinalista-14</v>
      </c>
      <c r="L195" s="53"/>
      <c r="M195" s="55" t="str">
        <f>WORLDCUP!AF125</f>
        <v>W82</v>
      </c>
      <c r="N195" s="25"/>
      <c r="O195" s="25"/>
      <c r="P195" s="25"/>
      <c r="Q195" s="25"/>
      <c r="R195" s="110"/>
      <c r="S195" s="74" t="s">
        <v>110</v>
      </c>
      <c r="T195" s="73">
        <f t="shared" ca="1" si="490"/>
        <v>0</v>
      </c>
      <c r="U195" s="64"/>
      <c r="V195" s="74" t="s">
        <v>110</v>
      </c>
      <c r="W195" s="73">
        <f t="shared" ca="1" si="491"/>
        <v>0</v>
      </c>
      <c r="X195" s="64"/>
      <c r="Y195" s="74" t="s">
        <v>1634</v>
      </c>
      <c r="Z195" s="73">
        <f t="shared" ca="1" si="492"/>
        <v>0</v>
      </c>
      <c r="AA195" s="64"/>
      <c r="AB195" s="74" t="s">
        <v>1634</v>
      </c>
      <c r="AC195" s="73">
        <f ca="1">COUNTIF($M$182:$M$197,AB195)*$D$19</f>
        <v>0</v>
      </c>
      <c r="AD195" s="64"/>
      <c r="AE195" s="74" t="s">
        <v>1634</v>
      </c>
      <c r="AF195" s="73">
        <f ca="1">COUNTIF($M$182:$M$197,AE195)*$D$19</f>
        <v>0</v>
      </c>
      <c r="AG195" s="64"/>
      <c r="AH195" s="74" t="s">
        <v>1634</v>
      </c>
      <c r="AI195" s="73">
        <f t="shared" ca="1" si="493"/>
        <v>0</v>
      </c>
      <c r="AJ195" s="64"/>
      <c r="AK195" s="74" t="s">
        <v>110</v>
      </c>
      <c r="AL195" s="73">
        <f t="shared" ca="1" si="494"/>
        <v>0</v>
      </c>
      <c r="AM195" s="64"/>
      <c r="AN195" s="74"/>
      <c r="AO195" s="73">
        <f t="shared" ca="1" si="495"/>
        <v>0</v>
      </c>
      <c r="AP195" s="64"/>
      <c r="AQ195" s="74"/>
      <c r="AR195" s="73">
        <f t="shared" ca="1" si="496"/>
        <v>0</v>
      </c>
      <c r="AS195" s="64"/>
      <c r="AT195" s="74"/>
      <c r="AU195" s="73">
        <f t="shared" ca="1" si="497"/>
        <v>0</v>
      </c>
      <c r="AV195" s="64"/>
      <c r="AW195" s="74"/>
      <c r="AX195" s="73">
        <f t="shared" ca="1" si="498"/>
        <v>0</v>
      </c>
      <c r="AY195" s="64"/>
      <c r="AZ195" s="74"/>
      <c r="BA195" s="73">
        <f t="shared" ca="1" si="499"/>
        <v>0</v>
      </c>
      <c r="BB195" s="64"/>
      <c r="BC195" s="74"/>
      <c r="BD195" s="73">
        <f t="shared" ca="1" si="500"/>
        <v>0</v>
      </c>
      <c r="BE195" s="64"/>
      <c r="BF195" s="74"/>
      <c r="BG195" s="73">
        <f t="shared" ca="1" si="501"/>
        <v>0</v>
      </c>
      <c r="BH195" s="64"/>
      <c r="BI195" s="74"/>
      <c r="BJ195" s="73">
        <f t="shared" ca="1" si="502"/>
        <v>0</v>
      </c>
      <c r="BK195" s="64"/>
      <c r="BL195" s="74"/>
      <c r="BM195" s="73">
        <f t="shared" ca="1" si="503"/>
        <v>0</v>
      </c>
      <c r="BN195" s="64"/>
      <c r="BO195" s="74"/>
      <c r="BP195" s="73">
        <f t="shared" ca="1" si="504"/>
        <v>0</v>
      </c>
      <c r="BQ195" s="64"/>
      <c r="BR195" s="74"/>
      <c r="BS195" s="73">
        <f t="shared" ca="1" si="505"/>
        <v>0</v>
      </c>
      <c r="BT195" s="64"/>
      <c r="BU195" s="74"/>
      <c r="BV195" s="73">
        <f t="shared" ca="1" si="506"/>
        <v>0</v>
      </c>
      <c r="BW195" s="64"/>
      <c r="BX195" s="74"/>
      <c r="BY195" s="73">
        <f t="shared" ca="1" si="507"/>
        <v>0</v>
      </c>
      <c r="BZ195" s="64"/>
      <c r="CA195" s="74"/>
      <c r="CB195" s="73">
        <f t="shared" ca="1" si="508"/>
        <v>0</v>
      </c>
      <c r="CC195" s="64"/>
      <c r="CD195" s="74"/>
      <c r="CE195" s="73">
        <f t="shared" ca="1" si="509"/>
        <v>0</v>
      </c>
      <c r="CF195" s="64"/>
      <c r="CG195" s="74"/>
      <c r="CH195" s="73">
        <f t="shared" ca="1" si="510"/>
        <v>0</v>
      </c>
      <c r="CI195" s="64"/>
      <c r="CJ195" s="74"/>
      <c r="CK195" s="73">
        <f t="shared" ca="1" si="511"/>
        <v>0</v>
      </c>
      <c r="CL195" s="64"/>
      <c r="CM195" s="74"/>
      <c r="CN195" s="73">
        <f t="shared" ca="1" si="512"/>
        <v>0</v>
      </c>
      <c r="CO195" s="64"/>
      <c r="CP195" s="64"/>
    </row>
    <row r="196" spans="1:94">
      <c r="A196" s="25"/>
      <c r="B196" s="25"/>
      <c r="C196" s="25"/>
      <c r="D196" s="25"/>
      <c r="E196" s="25"/>
      <c r="F196" s="407">
        <f t="shared" si="513"/>
        <v>3</v>
      </c>
      <c r="G196" s="407">
        <f ca="1">VLOOKUP(H196,Equipos!$Q$1:$R$25,2,0)</f>
        <v>20</v>
      </c>
      <c r="H196" s="446" t="str">
        <f>Idiomas!$D$260</f>
        <v>Dieciseisavos de final</v>
      </c>
      <c r="I196" s="50"/>
      <c r="J196" s="846"/>
      <c r="K196" s="56" t="str">
        <f>Idiomas!$D$199&amp;"-"&amp;ROWS($L$182:L196)</f>
        <v>Octavofinalista-15</v>
      </c>
      <c r="L196" s="53"/>
      <c r="M196" s="55" t="str">
        <f>WORLDCUP!AF126</f>
        <v>W88</v>
      </c>
      <c r="N196" s="25"/>
      <c r="O196" s="25"/>
      <c r="P196" s="25"/>
      <c r="Q196" s="25"/>
      <c r="R196" s="110"/>
      <c r="S196" s="74" t="s">
        <v>1257</v>
      </c>
      <c r="T196" s="73">
        <f t="shared" ca="1" si="490"/>
        <v>0</v>
      </c>
      <c r="U196" s="64"/>
      <c r="V196" s="74" t="s">
        <v>1550</v>
      </c>
      <c r="W196" s="73">
        <f t="shared" ca="1" si="491"/>
        <v>0</v>
      </c>
      <c r="X196" s="64"/>
      <c r="Y196" s="74" t="s">
        <v>1550</v>
      </c>
      <c r="Z196" s="73">
        <f t="shared" ca="1" si="492"/>
        <v>0</v>
      </c>
      <c r="AA196" s="64"/>
      <c r="AB196" s="74" t="s">
        <v>1550</v>
      </c>
      <c r="AC196" s="73">
        <f ca="1">COUNTIF($M$182:$M$197,AB196)*$D$19</f>
        <v>0</v>
      </c>
      <c r="AD196" s="64"/>
      <c r="AE196" s="74" t="s">
        <v>1550</v>
      </c>
      <c r="AF196" s="73">
        <f ca="1">COUNTIF($M$182:$M$197,AE196)*$D$19</f>
        <v>0</v>
      </c>
      <c r="AG196" s="64"/>
      <c r="AH196" s="74" t="s">
        <v>1257</v>
      </c>
      <c r="AI196" s="73">
        <f t="shared" ca="1" si="493"/>
        <v>0</v>
      </c>
      <c r="AJ196" s="64"/>
      <c r="AK196" s="74" t="s">
        <v>1550</v>
      </c>
      <c r="AL196" s="73">
        <f t="shared" ca="1" si="494"/>
        <v>0</v>
      </c>
      <c r="AM196" s="64"/>
      <c r="AN196" s="74"/>
      <c r="AO196" s="73">
        <f t="shared" ca="1" si="495"/>
        <v>0</v>
      </c>
      <c r="AP196" s="64"/>
      <c r="AQ196" s="74"/>
      <c r="AR196" s="73">
        <f t="shared" ca="1" si="496"/>
        <v>0</v>
      </c>
      <c r="AS196" s="64"/>
      <c r="AT196" s="74"/>
      <c r="AU196" s="73">
        <f t="shared" ca="1" si="497"/>
        <v>0</v>
      </c>
      <c r="AV196" s="64"/>
      <c r="AW196" s="74"/>
      <c r="AX196" s="73">
        <f t="shared" ca="1" si="498"/>
        <v>0</v>
      </c>
      <c r="AY196" s="64"/>
      <c r="AZ196" s="74"/>
      <c r="BA196" s="73">
        <f t="shared" ca="1" si="499"/>
        <v>0</v>
      </c>
      <c r="BB196" s="64"/>
      <c r="BC196" s="74"/>
      <c r="BD196" s="73">
        <f t="shared" ca="1" si="500"/>
        <v>0</v>
      </c>
      <c r="BE196" s="64"/>
      <c r="BF196" s="74"/>
      <c r="BG196" s="73">
        <f t="shared" ca="1" si="501"/>
        <v>0</v>
      </c>
      <c r="BH196" s="64"/>
      <c r="BI196" s="74"/>
      <c r="BJ196" s="73">
        <f t="shared" ca="1" si="502"/>
        <v>0</v>
      </c>
      <c r="BK196" s="64"/>
      <c r="BL196" s="74"/>
      <c r="BM196" s="73">
        <f t="shared" ca="1" si="503"/>
        <v>0</v>
      </c>
      <c r="BN196" s="64"/>
      <c r="BO196" s="74"/>
      <c r="BP196" s="73">
        <f t="shared" ca="1" si="504"/>
        <v>0</v>
      </c>
      <c r="BQ196" s="64"/>
      <c r="BR196" s="74"/>
      <c r="BS196" s="73">
        <f t="shared" ca="1" si="505"/>
        <v>0</v>
      </c>
      <c r="BT196" s="64"/>
      <c r="BU196" s="74"/>
      <c r="BV196" s="73">
        <f t="shared" ca="1" si="506"/>
        <v>0</v>
      </c>
      <c r="BW196" s="64"/>
      <c r="BX196" s="74"/>
      <c r="BY196" s="73">
        <f t="shared" ca="1" si="507"/>
        <v>0</v>
      </c>
      <c r="BZ196" s="64"/>
      <c r="CA196" s="74"/>
      <c r="CB196" s="73">
        <f t="shared" ca="1" si="508"/>
        <v>0</v>
      </c>
      <c r="CC196" s="64"/>
      <c r="CD196" s="74"/>
      <c r="CE196" s="73">
        <f t="shared" ca="1" si="509"/>
        <v>0</v>
      </c>
      <c r="CF196" s="64"/>
      <c r="CG196" s="74"/>
      <c r="CH196" s="73">
        <f t="shared" ca="1" si="510"/>
        <v>0</v>
      </c>
      <c r="CI196" s="64"/>
      <c r="CJ196" s="74"/>
      <c r="CK196" s="73">
        <f t="shared" ca="1" si="511"/>
        <v>0</v>
      </c>
      <c r="CL196" s="64"/>
      <c r="CM196" s="74"/>
      <c r="CN196" s="73">
        <f t="shared" ca="1" si="512"/>
        <v>0</v>
      </c>
      <c r="CO196" s="64"/>
      <c r="CP196" s="64"/>
    </row>
    <row r="197" spans="1:94">
      <c r="A197" s="25"/>
      <c r="B197" s="25"/>
      <c r="C197" s="25"/>
      <c r="D197" s="25"/>
      <c r="E197" s="25"/>
      <c r="F197" s="407">
        <f t="shared" si="513"/>
        <v>3</v>
      </c>
      <c r="G197" s="407">
        <f ca="1">VLOOKUP(H197,Equipos!$Q$1:$R$25,2,0)</f>
        <v>20</v>
      </c>
      <c r="H197" s="446" t="str">
        <f>Idiomas!$D$260</f>
        <v>Dieciseisavos de final</v>
      </c>
      <c r="I197" s="50"/>
      <c r="J197" s="846"/>
      <c r="K197" s="115" t="str">
        <f>Idiomas!$D$199&amp;"-"&amp;ROWS($L$182:L197)</f>
        <v>Octavofinalista-16</v>
      </c>
      <c r="L197" s="115"/>
      <c r="M197" s="116" t="str">
        <f>WORLDCUP!AF127</f>
        <v>W87</v>
      </c>
      <c r="N197" s="25"/>
      <c r="O197" s="25"/>
      <c r="P197" s="25"/>
      <c r="Q197" s="25"/>
      <c r="R197" s="110"/>
      <c r="S197" s="80" t="s">
        <v>1320</v>
      </c>
      <c r="T197" s="81">
        <f t="shared" ca="1" si="490"/>
        <v>0</v>
      </c>
      <c r="U197" s="64"/>
      <c r="V197" s="80" t="s">
        <v>1320</v>
      </c>
      <c r="W197" s="81">
        <f t="shared" ca="1" si="491"/>
        <v>0</v>
      </c>
      <c r="X197" s="64"/>
      <c r="Y197" s="80" t="s">
        <v>1320</v>
      </c>
      <c r="Z197" s="81">
        <f t="shared" ca="1" si="492"/>
        <v>0</v>
      </c>
      <c r="AA197" s="64"/>
      <c r="AB197" s="80" t="s">
        <v>1320</v>
      </c>
      <c r="AC197" s="81">
        <f ca="1">COUNTIF($M$182:$M$197,AB197)*$D$19</f>
        <v>0</v>
      </c>
      <c r="AD197" s="64"/>
      <c r="AE197" s="80" t="s">
        <v>1320</v>
      </c>
      <c r="AF197" s="81">
        <f ca="1">COUNTIF($M$182:$M$197,AE197)*$D$19</f>
        <v>0</v>
      </c>
      <c r="AG197" s="64"/>
      <c r="AH197" s="80" t="s">
        <v>1320</v>
      </c>
      <c r="AI197" s="81">
        <f t="shared" ca="1" si="493"/>
        <v>0</v>
      </c>
      <c r="AJ197" s="64"/>
      <c r="AK197" s="80" t="s">
        <v>1320</v>
      </c>
      <c r="AL197" s="81">
        <f t="shared" ca="1" si="494"/>
        <v>0</v>
      </c>
      <c r="AM197" s="64"/>
      <c r="AN197" s="80"/>
      <c r="AO197" s="81">
        <f t="shared" ca="1" si="495"/>
        <v>0</v>
      </c>
      <c r="AP197" s="64"/>
      <c r="AQ197" s="80"/>
      <c r="AR197" s="81">
        <f t="shared" ca="1" si="496"/>
        <v>0</v>
      </c>
      <c r="AS197" s="64"/>
      <c r="AT197" s="80"/>
      <c r="AU197" s="81">
        <f t="shared" ca="1" si="497"/>
        <v>0</v>
      </c>
      <c r="AV197" s="64"/>
      <c r="AW197" s="80"/>
      <c r="AX197" s="81">
        <f t="shared" ca="1" si="498"/>
        <v>0</v>
      </c>
      <c r="AY197" s="64"/>
      <c r="AZ197" s="80"/>
      <c r="BA197" s="81">
        <f t="shared" ca="1" si="499"/>
        <v>0</v>
      </c>
      <c r="BB197" s="64"/>
      <c r="BC197" s="80"/>
      <c r="BD197" s="81">
        <f t="shared" ca="1" si="500"/>
        <v>0</v>
      </c>
      <c r="BE197" s="64"/>
      <c r="BF197" s="80"/>
      <c r="BG197" s="81">
        <f t="shared" ca="1" si="501"/>
        <v>0</v>
      </c>
      <c r="BH197" s="64"/>
      <c r="BI197" s="80"/>
      <c r="BJ197" s="81">
        <f t="shared" ca="1" si="502"/>
        <v>0</v>
      </c>
      <c r="BK197" s="64"/>
      <c r="BL197" s="80"/>
      <c r="BM197" s="81">
        <f t="shared" ca="1" si="503"/>
        <v>0</v>
      </c>
      <c r="BN197" s="64"/>
      <c r="BO197" s="80"/>
      <c r="BP197" s="81">
        <f t="shared" ca="1" si="504"/>
        <v>0</v>
      </c>
      <c r="BQ197" s="64"/>
      <c r="BR197" s="80"/>
      <c r="BS197" s="81">
        <f t="shared" ca="1" si="505"/>
        <v>0</v>
      </c>
      <c r="BT197" s="64"/>
      <c r="BU197" s="80"/>
      <c r="BV197" s="81">
        <f t="shared" ca="1" si="506"/>
        <v>0</v>
      </c>
      <c r="BW197" s="64"/>
      <c r="BX197" s="80"/>
      <c r="BY197" s="81">
        <f t="shared" ca="1" si="507"/>
        <v>0</v>
      </c>
      <c r="BZ197" s="64"/>
      <c r="CA197" s="80"/>
      <c r="CB197" s="81">
        <f t="shared" ca="1" si="508"/>
        <v>0</v>
      </c>
      <c r="CC197" s="64"/>
      <c r="CD197" s="80"/>
      <c r="CE197" s="81">
        <f t="shared" ca="1" si="509"/>
        <v>0</v>
      </c>
      <c r="CF197" s="64"/>
      <c r="CG197" s="80"/>
      <c r="CH197" s="81">
        <f t="shared" ca="1" si="510"/>
        <v>0</v>
      </c>
      <c r="CI197" s="64"/>
      <c r="CJ197" s="80"/>
      <c r="CK197" s="81">
        <f t="shared" ca="1" si="511"/>
        <v>0</v>
      </c>
      <c r="CL197" s="64"/>
      <c r="CM197" s="80"/>
      <c r="CN197" s="81">
        <f t="shared" ca="1" si="512"/>
        <v>0</v>
      </c>
      <c r="CO197" s="64"/>
      <c r="CP197" s="64"/>
    </row>
    <row r="198" spans="1:94">
      <c r="A198" s="25"/>
      <c r="B198" s="25"/>
      <c r="C198" s="25"/>
      <c r="D198" s="25"/>
      <c r="E198" s="25"/>
      <c r="F198" s="407"/>
      <c r="G198" s="407"/>
      <c r="H198" s="65"/>
      <c r="I198" s="50"/>
      <c r="J198" s="94"/>
      <c r="K198" s="434" t="str">
        <f>Idiomas!D459</f>
        <v>Equipos 1/8</v>
      </c>
      <c r="L198" s="435"/>
      <c r="M198" s="434" t="str">
        <f ca="1">"Max: "&amp;$D$19*COUNT(T182:T197)</f>
        <v>Max: 48</v>
      </c>
      <c r="N198" s="25"/>
      <c r="O198" s="25"/>
      <c r="P198" s="25"/>
      <c r="Q198" s="25"/>
      <c r="R198" s="49"/>
      <c r="S198" s="84"/>
      <c r="T198" s="71">
        <f ca="1">SUM(T182:T197)</f>
        <v>3</v>
      </c>
      <c r="U198" s="65"/>
      <c r="V198" s="84"/>
      <c r="W198" s="71">
        <f t="shared" ref="W198" ca="1" si="514">SUM(W182:W197)</f>
        <v>3</v>
      </c>
      <c r="X198" s="65"/>
      <c r="Y198" s="84"/>
      <c r="Z198" s="71">
        <f t="shared" ref="Z198" ca="1" si="515">SUM(Z182:Z197)</f>
        <v>3</v>
      </c>
      <c r="AA198" s="65"/>
      <c r="AB198" s="84"/>
      <c r="AC198" s="71">
        <f t="shared" ref="AC198" ca="1" si="516">SUM(AC182:AC197)</f>
        <v>3</v>
      </c>
      <c r="AD198" s="65"/>
      <c r="AE198" s="84"/>
      <c r="AF198" s="71">
        <f t="shared" ref="AF198" ca="1" si="517">SUM(AF182:AF197)</f>
        <v>3</v>
      </c>
      <c r="AG198" s="65"/>
      <c r="AH198" s="84"/>
      <c r="AI198" s="71">
        <f t="shared" ref="AI198" ca="1" si="518">SUM(AI182:AI197)</f>
        <v>3</v>
      </c>
      <c r="AJ198" s="65"/>
      <c r="AK198" s="84"/>
      <c r="AL198" s="71">
        <f t="shared" ref="AL198" ca="1" si="519">SUM(AL182:AL197)</f>
        <v>3</v>
      </c>
      <c r="AM198" s="65"/>
      <c r="AN198" s="84"/>
      <c r="AO198" s="71">
        <f t="shared" ref="AO198" ca="1" si="520">SUM(AO182:AO197)</f>
        <v>0</v>
      </c>
      <c r="AP198" s="65"/>
      <c r="AQ198" s="84"/>
      <c r="AR198" s="71">
        <f t="shared" ref="AR198" ca="1" si="521">SUM(AR182:AR197)</f>
        <v>0</v>
      </c>
      <c r="AS198" s="65"/>
      <c r="AT198" s="84"/>
      <c r="AU198" s="71">
        <f t="shared" ref="AU198" ca="1" si="522">SUM(AU182:AU197)</f>
        <v>0</v>
      </c>
      <c r="AV198" s="65"/>
      <c r="AW198" s="84"/>
      <c r="AX198" s="71">
        <f t="shared" ref="AX198" ca="1" si="523">SUM(AX182:AX197)</f>
        <v>0</v>
      </c>
      <c r="AY198" s="65"/>
      <c r="AZ198" s="84"/>
      <c r="BA198" s="71">
        <f t="shared" ref="BA198" ca="1" si="524">SUM(BA182:BA197)</f>
        <v>0</v>
      </c>
      <c r="BB198" s="65"/>
      <c r="BC198" s="84"/>
      <c r="BD198" s="71">
        <f t="shared" ref="BD198" ca="1" si="525">SUM(BD182:BD197)</f>
        <v>0</v>
      </c>
      <c r="BE198" s="65"/>
      <c r="BF198" s="84"/>
      <c r="BG198" s="71">
        <f t="shared" ref="BG198" ca="1" si="526">SUM(BG182:BG197)</f>
        <v>0</v>
      </c>
      <c r="BH198" s="65"/>
      <c r="BI198" s="84"/>
      <c r="BJ198" s="71">
        <f t="shared" ref="BJ198" ca="1" si="527">SUM(BJ182:BJ197)</f>
        <v>0</v>
      </c>
      <c r="BK198" s="65"/>
      <c r="BL198" s="84"/>
      <c r="BM198" s="71">
        <f t="shared" ref="BM198" ca="1" si="528">SUM(BM182:BM197)</f>
        <v>0</v>
      </c>
      <c r="BN198" s="65"/>
      <c r="BO198" s="84"/>
      <c r="BP198" s="71">
        <f t="shared" ref="BP198" ca="1" si="529">SUM(BP182:BP197)</f>
        <v>0</v>
      </c>
      <c r="BQ198" s="65"/>
      <c r="BR198" s="84"/>
      <c r="BS198" s="71">
        <f t="shared" ref="BS198" ca="1" si="530">SUM(BS182:BS197)</f>
        <v>0</v>
      </c>
      <c r="BT198" s="65"/>
      <c r="BU198" s="84"/>
      <c r="BV198" s="71">
        <f t="shared" ref="BV198" ca="1" si="531">SUM(BV182:BV197)</f>
        <v>0</v>
      </c>
      <c r="BW198" s="65"/>
      <c r="BX198" s="84"/>
      <c r="BY198" s="71">
        <f t="shared" ref="BY198" ca="1" si="532">SUM(BY182:BY197)</f>
        <v>0</v>
      </c>
      <c r="BZ198" s="65"/>
      <c r="CA198" s="84"/>
      <c r="CB198" s="71">
        <f t="shared" ref="CB198" ca="1" si="533">SUM(CB182:CB197)</f>
        <v>0</v>
      </c>
      <c r="CC198" s="65"/>
      <c r="CD198" s="84"/>
      <c r="CE198" s="71">
        <f t="shared" ref="CE198" ca="1" si="534">SUM(CE182:CE197)</f>
        <v>0</v>
      </c>
      <c r="CF198" s="65"/>
      <c r="CG198" s="84"/>
      <c r="CH198" s="71">
        <f t="shared" ref="CH198" ca="1" si="535">SUM(CH182:CH197)</f>
        <v>0</v>
      </c>
      <c r="CI198" s="65"/>
      <c r="CJ198" s="84"/>
      <c r="CK198" s="71">
        <f t="shared" ref="CK198" ca="1" si="536">SUM(CK182:CK197)</f>
        <v>0</v>
      </c>
      <c r="CL198" s="65"/>
      <c r="CM198" s="84"/>
      <c r="CN198" s="71">
        <f t="shared" ref="CN198" ca="1" si="537">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 ca="1">CONCATENATE(WORLDCUP!AF120,"-",WORLDCUP!AA120)</f>
        <v>W75-Canadá</v>
      </c>
      <c r="D200" s="25" t="str">
        <f>IF(WORLDCUP!AC120&gt;WORLDCUP!AD120,2,IF(WORLDCUP!AC120&lt;WORLDCUP!AD120,1,IF(AND(WORLDCUP!AC120=WORLDCUP!AD120,WORLDCUP!AC120&lt;&gt;"",WORLDCUP!AD120&lt;&gt;""),0,"PD")))</f>
        <v>PD</v>
      </c>
      <c r="E200" s="25" t="str">
        <f>IF(OR(WORLDCUP!AD120="",WORLDCUP!AC120=""),"-",A200&amp;"-"&amp;B200)</f>
        <v>-</v>
      </c>
      <c r="F200" s="407">
        <f>SUM($D$20:$D$22)*I200</f>
        <v>0</v>
      </c>
      <c r="G200" s="407">
        <f ca="1">VLOOKUP(H200,Equipos!$Q$1:$R$25,2,0)</f>
        <v>21</v>
      </c>
      <c r="H200" s="65" t="str">
        <f>Idiomas!$D$261</f>
        <v>Octavos de final</v>
      </c>
      <c r="I200" s="43">
        <v>1</v>
      </c>
      <c r="J200" s="846" t="s">
        <v>88</v>
      </c>
      <c r="K200" s="53" t="str">
        <f ca="1">CONCATENATE(WORLDCUP!AA120,"-",WORLDCUP!AF120)</f>
        <v>Canadá-W75</v>
      </c>
      <c r="L200" s="53" t="str">
        <f>IF(OR(WORLDCUP!AC120="",WORLDCUP!AD120=""),"PD",IF(WORLDCUP!AC120&gt;WORLDCUP!AD120,1,IF(WORLDCUP!AC120&lt;WORLDCUP!AD120,2,0)))</f>
        <v>PD</v>
      </c>
      <c r="M200" s="55" t="str">
        <f t="shared" ref="M200:M207" si="538">IF(L200="PD","-",N200&amp;"-"&amp;O200)</f>
        <v>-</v>
      </c>
      <c r="N200" s="25">
        <f>WORLDCUP!AC120</f>
        <v>0</v>
      </c>
      <c r="O200" s="25">
        <f>WORLDCUP!AD120</f>
        <v>0</v>
      </c>
      <c r="P200" s="25">
        <f t="shared" ref="P200:P207" si="539">+N200-O200</f>
        <v>0</v>
      </c>
      <c r="Q200" s="25">
        <f t="shared" ref="Q200:Q207" si="540">+A200-B200</f>
        <v>0</v>
      </c>
      <c r="R200" s="110"/>
      <c r="S200" s="66" t="s">
        <v>2023</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1995</v>
      </c>
      <c r="W200" s="85">
        <f t="shared" ref="W200:CH207" ca="1" si="541">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2076</v>
      </c>
      <c r="Z200" s="85">
        <f t="shared" ref="Z200" ca="1" si="542">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2096</v>
      </c>
      <c r="AC200" s="85">
        <f ca="1">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2023</v>
      </c>
      <c r="AF200" s="85">
        <f ca="1">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2023</v>
      </c>
      <c r="AI200" s="85">
        <f t="shared" ref="AI200" ca="1" si="543">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1995</v>
      </c>
      <c r="AL200" s="85">
        <f t="shared" ref="AL200" ca="1" si="544">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ca="1" si="545">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ca="1" si="546">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ca="1" si="547">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ca="1" si="548">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ca="1" si="549">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ca="1" si="550">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ca="1" si="551">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ca="1" si="552">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ca="1" si="553">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ca="1" si="554">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ca="1" si="555">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ca="1" si="556">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ca="1" si="557">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ca="1" si="558">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ca="1" si="559">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ca="1" si="560">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ca="1" si="561">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ca="1" si="562">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3">SUM($D$20:$D$22)*I201</f>
        <v>0</v>
      </c>
      <c r="G201" s="407">
        <f ca="1">VLOOKUP(H201,Equipos!$Q$1:$R$25,2,0)</f>
        <v>21</v>
      </c>
      <c r="H201" s="65" t="str">
        <f>Idiomas!$D$261</f>
        <v>Octavos de final</v>
      </c>
      <c r="I201" s="43">
        <v>1</v>
      </c>
      <c r="J201" s="846"/>
      <c r="K201" s="56" t="str">
        <f>CONCATENATE(WORLDCUP!AA121,"-",WORLDCUP!AF121)</f>
        <v>W74-W77</v>
      </c>
      <c r="L201" s="53" t="str">
        <f>IF(OR(WORLDCUP!AC121="",WORLDCUP!AD121=""),"PD",IF(WORLDCUP!AC121&gt;WORLDCUP!AD121,1,IF(WORLDCUP!AC121&lt;WORLDCUP!AD121,2,0)))</f>
        <v>PD</v>
      </c>
      <c r="M201" s="55" t="str">
        <f t="shared" si="538"/>
        <v>-</v>
      </c>
      <c r="N201" s="25">
        <f>WORLDCUP!AC121</f>
        <v>0</v>
      </c>
      <c r="O201" s="25">
        <f>WORLDCUP!AD121</f>
        <v>0</v>
      </c>
      <c r="P201" s="25">
        <f t="shared" si="539"/>
        <v>0</v>
      </c>
      <c r="Q201" s="25">
        <f t="shared" si="540"/>
        <v>0</v>
      </c>
      <c r="R201" s="110"/>
      <c r="S201" s="74" t="s">
        <v>1996</v>
      </c>
      <c r="T201" s="73">
        <f t="shared" ref="T201:T207" ca="1" si="564">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1996</v>
      </c>
      <c r="W201" s="73">
        <f t="shared" ca="1" si="541"/>
        <v>0</v>
      </c>
      <c r="X201" s="110"/>
      <c r="Y201" s="80" t="s">
        <v>2077</v>
      </c>
      <c r="Z201" s="73">
        <f t="shared" ca="1" si="541"/>
        <v>0</v>
      </c>
      <c r="AA201" s="110"/>
      <c r="AB201" s="80" t="s">
        <v>2077</v>
      </c>
      <c r="AC201" s="73">
        <f ca="1">IFERROR(IF(COUNTIF($K$200:$K$207,LEFT(AB201,FIND("·",AB201)-1))&gt;0,IF(INDEX($L$200:$L$207,MATCH(LEFT(AB201,FIND("·",AB201)-1),$K$200:$K$207,0))=IFERROR(VALUE(MID(AB201,FIND("·",AB201)+1,1)),0),($D$20+(INDEX($M$200:$M$207,MATCH(LEFT(AB201,FIND("·",AB201)-1),$K$200:$K$207,0))=MID(AB201,FIND("|",AB201)+1,10))*$D$22+MAX(0,IF($D$50=1,$D$21*(1-(ABS(INDEX($P$200:$P$207,MATCH(LEFT(AB201,FIND("·",AB201)-1),$K$200:$K$207,0))-(VALUE(MID(AB201,FIND("|",AB201)+1,FIND("-",AB201,FIND("|",AB201))-FIND("|",AB201)-1))-VALUE(MID(AB201,FIND("-",AB201,FIND("|",AB201))+1,10)))))*$D$50),$D$21*(1-(IF(INDEX($L$200:$L$207,MATCH(LEFT(AB201,FIND("·",AB201)-1),$K$200:$K$207,0))=0,ABS(INDEX($N$200:$N$207,MATCH(LEFT(AB201,FIND("·",AB201)-1),$K$200:$K$207,0))-VALUE(MID(AB201,FIND("|",AB201)+1,FIND("-",AB201,FIND("|",AB201))-FIND("|",AB201)-1))),ABS(INDEX($P$200:$P$207,MATCH(LEFT(AB201,FIND("·",AB201)-1),$K$200:$K$207,0))-(VALUE(MID(AB201,FIND("|",AB201)+1,FIND("-",AB201,FIND("|",AB201))-FIND("|",AB201)-1))-VALUE(MID(AB201,FIND("-",AB201,FIND("|",AB201))+1,10)))))*$D$50)))))*INDEX($I$200:$I$207,MATCH(LEFT(AB201,FIND("·",AB201)-1),$K$200:$K$207,0)),0),0),0)+IFERROR(IF(COUNTIF($C$200:$C$207,LEFT(AB201,FIND("·",AB201)-1))&gt;0,IF(INDEX($D$200:$D$207,MATCH(LEFT(AB201,FIND("·",AB201)-1),$C$200:$C$207,0))=IFERROR(VALUE(MID(AB201,FIND("·",AB201)+1,1)),0),($D$20+(INDEX($E$200:$E$207,MATCH(LEFT(AB201,FIND("·",AB201)-1),$C$200:$C$207,0))=MID(AB201,FIND("|",AB201)+1,10))*$D$22+MAX(0,IF($D$50=1,$D$21*(1-(ABS(INDEX($Q$200:$Q$207,MATCH(LEFT(AB201,FIND("·",AB201)-1),$C$200:$C$207,0))-(VALUE(MID(AB201,FIND("|",AB201)+1,FIND("-",AB201,FIND("|",AB201))-FIND("|",AB201)-1))-VALUE(MID(AB201,FIND("-",AB201,FIND("|",AB201))+1,10)))))*$D$50),$D$21*(1-(IF(INDEX($D$200:$D$207,MATCH(LEFT(AB201,FIND("·",AB201)-1),$C$200:$C$207,0))=0,ABS(INDEX($A$200:$A$207,MATCH(LEFT(AB201,FIND("·",AB201)-1),$C$200:$C$207,0))-VALUE(MID(AB201,FIND("|",AB201)+1,FIND("-",AB201,FIND("|",AB201))-FIND("|",AB201)-1))),ABS(INDEX($Q$200:$Q$207,MATCH(LEFT(AB201,FIND("·",AB201)-1),$C$200:$C$207,0))-(VALUE(MID(AB201,FIND("|",AB201)+1,FIND("-",AB201,FIND("|",AB201))-FIND("|",AB201)-1))-VALUE(MID(AB201,FIND("-",AB201,FIND("|",AB201))+1,10)))))*$D$50)))))*INDEX($I$200:$I$207,MATCH(LEFT(AB201,FIND("·",AB201)-1),$C$200:$C$207,0)),0),0),0)</f>
        <v>0</v>
      </c>
      <c r="AD201" s="110"/>
      <c r="AE201" s="80" t="s">
        <v>1996</v>
      </c>
      <c r="AF201" s="73">
        <f ca="1">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110"/>
      <c r="AH201" s="80" t="s">
        <v>1996</v>
      </c>
      <c r="AI201" s="73">
        <f t="shared" ca="1" si="541"/>
        <v>0</v>
      </c>
      <c r="AJ201" s="110"/>
      <c r="AK201" s="80" t="s">
        <v>1996</v>
      </c>
      <c r="AL201" s="73">
        <f t="shared" ca="1" si="541"/>
        <v>0</v>
      </c>
      <c r="AM201" s="110"/>
      <c r="AN201" s="80"/>
      <c r="AO201" s="73">
        <f t="shared" ca="1" si="541"/>
        <v>0</v>
      </c>
      <c r="AP201" s="110"/>
      <c r="AQ201" s="80"/>
      <c r="AR201" s="73">
        <f t="shared" ca="1" si="541"/>
        <v>0</v>
      </c>
      <c r="AS201" s="110"/>
      <c r="AT201" s="80"/>
      <c r="AU201" s="73">
        <f t="shared" ca="1" si="541"/>
        <v>0</v>
      </c>
      <c r="AV201" s="110"/>
      <c r="AW201" s="80"/>
      <c r="AX201" s="73">
        <f t="shared" ca="1" si="541"/>
        <v>0</v>
      </c>
      <c r="AY201" s="110"/>
      <c r="AZ201" s="80"/>
      <c r="BA201" s="73">
        <f t="shared" ca="1" si="541"/>
        <v>0</v>
      </c>
      <c r="BB201" s="110"/>
      <c r="BC201" s="80"/>
      <c r="BD201" s="73">
        <f t="shared" ca="1" si="541"/>
        <v>0</v>
      </c>
      <c r="BE201" s="110"/>
      <c r="BF201" s="80"/>
      <c r="BG201" s="73">
        <f t="shared" ca="1" si="541"/>
        <v>0</v>
      </c>
      <c r="BH201" s="110"/>
      <c r="BI201" s="80"/>
      <c r="BJ201" s="73">
        <f t="shared" ca="1" si="541"/>
        <v>0</v>
      </c>
      <c r="BK201" s="110"/>
      <c r="BL201" s="80"/>
      <c r="BM201" s="73">
        <f t="shared" ca="1" si="541"/>
        <v>0</v>
      </c>
      <c r="BN201" s="110"/>
      <c r="BO201" s="80"/>
      <c r="BP201" s="73">
        <f t="shared" ca="1" si="541"/>
        <v>0</v>
      </c>
      <c r="BQ201" s="110"/>
      <c r="BR201" s="80"/>
      <c r="BS201" s="73">
        <f t="shared" ca="1" si="541"/>
        <v>0</v>
      </c>
      <c r="BT201" s="110"/>
      <c r="BU201" s="80"/>
      <c r="BV201" s="73">
        <f t="shared" ca="1" si="541"/>
        <v>0</v>
      </c>
      <c r="BW201" s="110"/>
      <c r="BX201" s="80"/>
      <c r="BY201" s="73">
        <f t="shared" ca="1" si="541"/>
        <v>0</v>
      </c>
      <c r="BZ201" s="110"/>
      <c r="CA201" s="80"/>
      <c r="CB201" s="73">
        <f t="shared" ca="1" si="541"/>
        <v>0</v>
      </c>
      <c r="CC201" s="110"/>
      <c r="CD201" s="80"/>
      <c r="CE201" s="73">
        <f t="shared" ca="1" si="541"/>
        <v>0</v>
      </c>
      <c r="CF201" s="110"/>
      <c r="CG201" s="80"/>
      <c r="CH201" s="73">
        <f t="shared" ca="1" si="541"/>
        <v>0</v>
      </c>
      <c r="CI201" s="110"/>
      <c r="CJ201" s="80"/>
      <c r="CK201" s="73">
        <f t="shared" ca="1" si="561"/>
        <v>0</v>
      </c>
      <c r="CL201" s="110"/>
      <c r="CM201" s="80"/>
      <c r="CN201" s="73">
        <f t="shared" ca="1" si="561"/>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3"/>
        <v>0</v>
      </c>
      <c r="G202" s="407">
        <f ca="1">VLOOKUP(H202,Equipos!$Q$1:$R$25,2,0)</f>
        <v>21</v>
      </c>
      <c r="H202" s="65" t="str">
        <f>Idiomas!$D$261</f>
        <v>Octavos de final</v>
      </c>
      <c r="I202" s="43">
        <v>1</v>
      </c>
      <c r="J202" s="846"/>
      <c r="K202" s="56" t="str">
        <f>CONCATENATE(WORLDCUP!AA122,"-",WORLDCUP!AF122)</f>
        <v>W76-W78</v>
      </c>
      <c r="L202" s="53" t="str">
        <f>IF(OR(WORLDCUP!AC122="",WORLDCUP!AD122=""),"PD",IF(WORLDCUP!AC122&gt;WORLDCUP!AD122,1,IF(WORLDCUP!AC122&lt;WORLDCUP!AD122,2,0)))</f>
        <v>PD</v>
      </c>
      <c r="M202" s="55" t="str">
        <f t="shared" si="538"/>
        <v>-</v>
      </c>
      <c r="N202" s="25">
        <f>WORLDCUP!AC122</f>
        <v>0</v>
      </c>
      <c r="O202" s="25">
        <f>WORLDCUP!AD122</f>
        <v>0</v>
      </c>
      <c r="P202" s="25">
        <f t="shared" si="539"/>
        <v>0</v>
      </c>
      <c r="Q202" s="25">
        <f t="shared" si="540"/>
        <v>0</v>
      </c>
      <c r="R202" s="110"/>
      <c r="S202" s="74" t="s">
        <v>1997</v>
      </c>
      <c r="T202" s="73">
        <f t="shared" ca="1" si="564"/>
        <v>0</v>
      </c>
      <c r="U202" s="110"/>
      <c r="V202" s="74" t="s">
        <v>1997</v>
      </c>
      <c r="W202" s="73">
        <f t="shared" ca="1" si="541"/>
        <v>0</v>
      </c>
      <c r="X202" s="110"/>
      <c r="Y202" s="80" t="s">
        <v>2078</v>
      </c>
      <c r="Z202" s="73">
        <f t="shared" ca="1" si="541"/>
        <v>0</v>
      </c>
      <c r="AA202" s="110"/>
      <c r="AB202" s="80" t="s">
        <v>2097</v>
      </c>
      <c r="AC202" s="73">
        <f ca="1">IFERROR(IF(COUNTIF($K$200:$K$207,LEFT(AB202,FIND("·",AB202)-1))&gt;0,IF(INDEX($L$200:$L$207,MATCH(LEFT(AB202,FIND("·",AB202)-1),$K$200:$K$207,0))=IFERROR(VALUE(MID(AB202,FIND("·",AB202)+1,1)),0),($D$20+(INDEX($M$200:$M$207,MATCH(LEFT(AB202,FIND("·",AB202)-1),$K$200:$K$207,0))=MID(AB202,FIND("|",AB202)+1,10))*$D$22+MAX(0,IF($D$50=1,$D$21*(1-(ABS(INDEX($P$200:$P$207,MATCH(LEFT(AB202,FIND("·",AB202)-1),$K$200:$K$207,0))-(VALUE(MID(AB202,FIND("|",AB202)+1,FIND("-",AB202,FIND("|",AB202))-FIND("|",AB202)-1))-VALUE(MID(AB202,FIND("-",AB202,FIND("|",AB202))+1,10)))))*$D$50),$D$21*(1-(IF(INDEX($L$200:$L$207,MATCH(LEFT(AB202,FIND("·",AB202)-1),$K$200:$K$207,0))=0,ABS(INDEX($N$200:$N$207,MATCH(LEFT(AB202,FIND("·",AB202)-1),$K$200:$K$207,0))-VALUE(MID(AB202,FIND("|",AB202)+1,FIND("-",AB202,FIND("|",AB202))-FIND("|",AB202)-1))),ABS(INDEX($P$200:$P$207,MATCH(LEFT(AB202,FIND("·",AB202)-1),$K$200:$K$207,0))-(VALUE(MID(AB202,FIND("|",AB202)+1,FIND("-",AB202,FIND("|",AB202))-FIND("|",AB202)-1))-VALUE(MID(AB202,FIND("-",AB202,FIND("|",AB202))+1,10)))))*$D$50)))))*INDEX($I$200:$I$207,MATCH(LEFT(AB202,FIND("·",AB202)-1),$K$200:$K$207,0)),0),0),0)+IFERROR(IF(COUNTIF($C$200:$C$207,LEFT(AB202,FIND("·",AB202)-1))&gt;0,IF(INDEX($D$200:$D$207,MATCH(LEFT(AB202,FIND("·",AB202)-1),$C$200:$C$207,0))=IFERROR(VALUE(MID(AB202,FIND("·",AB202)+1,1)),0),($D$20+(INDEX($E$200:$E$207,MATCH(LEFT(AB202,FIND("·",AB202)-1),$C$200:$C$207,0))=MID(AB202,FIND("|",AB202)+1,10))*$D$22+MAX(0,IF($D$50=1,$D$21*(1-(ABS(INDEX($Q$200:$Q$207,MATCH(LEFT(AB202,FIND("·",AB202)-1),$C$200:$C$207,0))-(VALUE(MID(AB202,FIND("|",AB202)+1,FIND("-",AB202,FIND("|",AB202))-FIND("|",AB202)-1))-VALUE(MID(AB202,FIND("-",AB202,FIND("|",AB202))+1,10)))))*$D$50),$D$21*(1-(IF(INDEX($D$200:$D$207,MATCH(LEFT(AB202,FIND("·",AB202)-1),$C$200:$C$207,0))=0,ABS(INDEX($A$200:$A$207,MATCH(LEFT(AB202,FIND("·",AB202)-1),$C$200:$C$207,0))-VALUE(MID(AB202,FIND("|",AB202)+1,FIND("-",AB202,FIND("|",AB202))-FIND("|",AB202)-1))),ABS(INDEX($Q$200:$Q$207,MATCH(LEFT(AB202,FIND("·",AB202)-1),$C$200:$C$207,0))-(VALUE(MID(AB202,FIND("|",AB202)+1,FIND("-",AB202,FIND("|",AB202))-FIND("|",AB202)-1))-VALUE(MID(AB202,FIND("-",AB202,FIND("|",AB202))+1,10)))))*$D$50)))))*INDEX($I$200:$I$207,MATCH(LEFT(AB202,FIND("·",AB202)-1),$C$200:$C$207,0)),0),0),0)</f>
        <v>0</v>
      </c>
      <c r="AD202" s="110"/>
      <c r="AE202" s="80" t="s">
        <v>2058</v>
      </c>
      <c r="AF202" s="73">
        <f ca="1">IFERROR(IF(COUNTIF($K$200:$K$207,LEFT(AE202,FIND("·",AE202)-1))&gt;0,IF(INDEX($L$200:$L$207,MATCH(LEFT(AE202,FIND("·",AE202)-1),$K$200:$K$207,0))=IFERROR(VALUE(MID(AE202,FIND("·",AE202)+1,1)),0),($D$20+(INDEX($M$200:$M$207,MATCH(LEFT(AE202,FIND("·",AE202)-1),$K$200:$K$207,0))=MID(AE202,FIND("|",AE202)+1,10))*$D$22+MAX(0,IF($D$50=1,$D$21*(1-(ABS(INDEX($P$200:$P$207,MATCH(LEFT(AE202,FIND("·",AE202)-1),$K$200:$K$207,0))-(VALUE(MID(AE202,FIND("|",AE202)+1,FIND("-",AE202,FIND("|",AE202))-FIND("|",AE202)-1))-VALUE(MID(AE202,FIND("-",AE202,FIND("|",AE202))+1,10)))))*$D$50),$D$21*(1-(IF(INDEX($L$200:$L$207,MATCH(LEFT(AE202,FIND("·",AE202)-1),$K$200:$K$207,0))=0,ABS(INDEX($N$200:$N$207,MATCH(LEFT(AE202,FIND("·",AE202)-1),$K$200:$K$207,0))-VALUE(MID(AE202,FIND("|",AE202)+1,FIND("-",AE202,FIND("|",AE202))-FIND("|",AE202)-1))),ABS(INDEX($P$200:$P$207,MATCH(LEFT(AE202,FIND("·",AE202)-1),$K$200:$K$207,0))-(VALUE(MID(AE202,FIND("|",AE202)+1,FIND("-",AE202,FIND("|",AE202))-FIND("|",AE202)-1))-VALUE(MID(AE202,FIND("-",AE202,FIND("|",AE202))+1,10)))))*$D$50)))))*INDEX($I$200:$I$207,MATCH(LEFT(AE202,FIND("·",AE202)-1),$K$200:$K$207,0)),0),0),0)+IFERROR(IF(COUNTIF($C$200:$C$207,LEFT(AE202,FIND("·",AE202)-1))&gt;0,IF(INDEX($D$200:$D$207,MATCH(LEFT(AE202,FIND("·",AE202)-1),$C$200:$C$207,0))=IFERROR(VALUE(MID(AE202,FIND("·",AE202)+1,1)),0),($D$20+(INDEX($E$200:$E$207,MATCH(LEFT(AE202,FIND("·",AE202)-1),$C$200:$C$207,0))=MID(AE202,FIND("|",AE202)+1,10))*$D$22+MAX(0,IF($D$50=1,$D$21*(1-(ABS(INDEX($Q$200:$Q$207,MATCH(LEFT(AE202,FIND("·",AE202)-1),$C$200:$C$207,0))-(VALUE(MID(AE202,FIND("|",AE202)+1,FIND("-",AE202,FIND("|",AE202))-FIND("|",AE202)-1))-VALUE(MID(AE202,FIND("-",AE202,FIND("|",AE202))+1,10)))))*$D$50),$D$21*(1-(IF(INDEX($D$200:$D$207,MATCH(LEFT(AE202,FIND("·",AE202)-1),$C$200:$C$207,0))=0,ABS(INDEX($A$200:$A$207,MATCH(LEFT(AE202,FIND("·",AE202)-1),$C$200:$C$207,0))-VALUE(MID(AE202,FIND("|",AE202)+1,FIND("-",AE202,FIND("|",AE202))-FIND("|",AE202)-1))),ABS(INDEX($Q$200:$Q$207,MATCH(LEFT(AE202,FIND("·",AE202)-1),$C$200:$C$207,0))-(VALUE(MID(AE202,FIND("|",AE202)+1,FIND("-",AE202,FIND("|",AE202))-FIND("|",AE202)-1))-VALUE(MID(AE202,FIND("-",AE202,FIND("|",AE202))+1,10)))))*$D$50)))))*INDEX($I$200:$I$207,MATCH(LEFT(AE202,FIND("·",AE202)-1),$C$200:$C$207,0)),0),0),0)</f>
        <v>0</v>
      </c>
      <c r="AG202" s="110"/>
      <c r="AH202" s="80" t="s">
        <v>1997</v>
      </c>
      <c r="AI202" s="73">
        <f t="shared" ca="1" si="541"/>
        <v>0</v>
      </c>
      <c r="AJ202" s="110"/>
      <c r="AK202" s="80" t="s">
        <v>1997</v>
      </c>
      <c r="AL202" s="73">
        <f t="shared" ca="1" si="541"/>
        <v>0</v>
      </c>
      <c r="AM202" s="110"/>
      <c r="AN202" s="80"/>
      <c r="AO202" s="73">
        <f t="shared" ca="1" si="541"/>
        <v>0</v>
      </c>
      <c r="AP202" s="110"/>
      <c r="AQ202" s="80"/>
      <c r="AR202" s="73">
        <f t="shared" ca="1" si="541"/>
        <v>0</v>
      </c>
      <c r="AS202" s="110"/>
      <c r="AT202" s="80"/>
      <c r="AU202" s="73">
        <f t="shared" ca="1" si="541"/>
        <v>0</v>
      </c>
      <c r="AV202" s="110"/>
      <c r="AW202" s="80"/>
      <c r="AX202" s="73">
        <f t="shared" ca="1" si="541"/>
        <v>0</v>
      </c>
      <c r="AY202" s="110"/>
      <c r="AZ202" s="80"/>
      <c r="BA202" s="73">
        <f t="shared" ca="1" si="541"/>
        <v>0</v>
      </c>
      <c r="BB202" s="110"/>
      <c r="BC202" s="80"/>
      <c r="BD202" s="73">
        <f t="shared" ca="1" si="541"/>
        <v>0</v>
      </c>
      <c r="BE202" s="110"/>
      <c r="BF202" s="80"/>
      <c r="BG202" s="73">
        <f t="shared" ca="1" si="541"/>
        <v>0</v>
      </c>
      <c r="BH202" s="110"/>
      <c r="BI202" s="80"/>
      <c r="BJ202" s="73">
        <f t="shared" ca="1" si="541"/>
        <v>0</v>
      </c>
      <c r="BK202" s="110"/>
      <c r="BL202" s="80"/>
      <c r="BM202" s="73">
        <f t="shared" ca="1" si="541"/>
        <v>0</v>
      </c>
      <c r="BN202" s="110"/>
      <c r="BO202" s="80"/>
      <c r="BP202" s="73">
        <f t="shared" ca="1" si="541"/>
        <v>0</v>
      </c>
      <c r="BQ202" s="110"/>
      <c r="BR202" s="80"/>
      <c r="BS202" s="73">
        <f t="shared" ca="1" si="541"/>
        <v>0</v>
      </c>
      <c r="BT202" s="110"/>
      <c r="BU202" s="80"/>
      <c r="BV202" s="73">
        <f t="shared" ca="1" si="541"/>
        <v>0</v>
      </c>
      <c r="BW202" s="110"/>
      <c r="BX202" s="80"/>
      <c r="BY202" s="73">
        <f t="shared" ca="1" si="541"/>
        <v>0</v>
      </c>
      <c r="BZ202" s="110"/>
      <c r="CA202" s="80"/>
      <c r="CB202" s="73">
        <f t="shared" ca="1" si="541"/>
        <v>0</v>
      </c>
      <c r="CC202" s="110"/>
      <c r="CD202" s="80"/>
      <c r="CE202" s="73">
        <f t="shared" ca="1" si="541"/>
        <v>0</v>
      </c>
      <c r="CF202" s="110"/>
      <c r="CG202" s="80"/>
      <c r="CH202" s="73">
        <f t="shared" ca="1" si="541"/>
        <v>0</v>
      </c>
      <c r="CI202" s="110"/>
      <c r="CJ202" s="80"/>
      <c r="CK202" s="73">
        <f t="shared" ca="1" si="561"/>
        <v>0</v>
      </c>
      <c r="CL202" s="110"/>
      <c r="CM202" s="80"/>
      <c r="CN202" s="73">
        <f t="shared" ca="1" si="561"/>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3"/>
        <v>0</v>
      </c>
      <c r="G203" s="407">
        <f ca="1">VLOOKUP(H203,Equipos!$Q$1:$R$25,2,0)</f>
        <v>21</v>
      </c>
      <c r="H203" s="65" t="str">
        <f>Idiomas!$D$261</f>
        <v>Octavos de final</v>
      </c>
      <c r="I203" s="43">
        <v>1</v>
      </c>
      <c r="J203" s="846"/>
      <c r="K203" s="56" t="str">
        <f>CONCATENATE(WORLDCUP!AA123,"-",WORLDCUP!AF123)</f>
        <v>W79-W80</v>
      </c>
      <c r="L203" s="53" t="str">
        <f>IF(OR(WORLDCUP!AC123="",WORLDCUP!AD123=""),"PD",IF(WORLDCUP!AC123&gt;WORLDCUP!AD123,1,IF(WORLDCUP!AC123&lt;WORLDCUP!AD123,2,0)))</f>
        <v>PD</v>
      </c>
      <c r="M203" s="55" t="str">
        <f t="shared" si="538"/>
        <v>-</v>
      </c>
      <c r="N203" s="25">
        <f>WORLDCUP!AC123</f>
        <v>0</v>
      </c>
      <c r="O203" s="25">
        <f>WORLDCUP!AD123</f>
        <v>0</v>
      </c>
      <c r="P203" s="25">
        <f t="shared" si="539"/>
        <v>0</v>
      </c>
      <c r="Q203" s="25">
        <f t="shared" si="540"/>
        <v>0</v>
      </c>
      <c r="R203" s="110"/>
      <c r="S203" s="74" t="s">
        <v>2024</v>
      </c>
      <c r="T203" s="73">
        <f t="shared" ca="1" si="564"/>
        <v>0</v>
      </c>
      <c r="U203" s="110"/>
      <c r="V203" s="74" t="s">
        <v>2024</v>
      </c>
      <c r="W203" s="73">
        <f t="shared" ca="1" si="541"/>
        <v>0</v>
      </c>
      <c r="X203" s="110"/>
      <c r="Y203" s="80" t="s">
        <v>2079</v>
      </c>
      <c r="Z203" s="73">
        <f t="shared" ca="1" si="541"/>
        <v>0</v>
      </c>
      <c r="AA203" s="110"/>
      <c r="AB203" s="80" t="s">
        <v>2024</v>
      </c>
      <c r="AC203" s="73">
        <f ca="1">IFERROR(IF(COUNTIF($K$200:$K$207,LEFT(AB203,FIND("·",AB203)-1))&gt;0,IF(INDEX($L$200:$L$207,MATCH(LEFT(AB203,FIND("·",AB203)-1),$K$200:$K$207,0))=IFERROR(VALUE(MID(AB203,FIND("·",AB203)+1,1)),0),($D$20+(INDEX($M$200:$M$207,MATCH(LEFT(AB203,FIND("·",AB203)-1),$K$200:$K$207,0))=MID(AB203,FIND("|",AB203)+1,10))*$D$22+MAX(0,IF($D$50=1,$D$21*(1-(ABS(INDEX($P$200:$P$207,MATCH(LEFT(AB203,FIND("·",AB203)-1),$K$200:$K$207,0))-(VALUE(MID(AB203,FIND("|",AB203)+1,FIND("-",AB203,FIND("|",AB203))-FIND("|",AB203)-1))-VALUE(MID(AB203,FIND("-",AB203,FIND("|",AB203))+1,10)))))*$D$50),$D$21*(1-(IF(INDEX($L$200:$L$207,MATCH(LEFT(AB203,FIND("·",AB203)-1),$K$200:$K$207,0))=0,ABS(INDEX($N$200:$N$207,MATCH(LEFT(AB203,FIND("·",AB203)-1),$K$200:$K$207,0))-VALUE(MID(AB203,FIND("|",AB203)+1,FIND("-",AB203,FIND("|",AB203))-FIND("|",AB203)-1))),ABS(INDEX($P$200:$P$207,MATCH(LEFT(AB203,FIND("·",AB203)-1),$K$200:$K$207,0))-(VALUE(MID(AB203,FIND("|",AB203)+1,FIND("-",AB203,FIND("|",AB203))-FIND("|",AB203)-1))-VALUE(MID(AB203,FIND("-",AB203,FIND("|",AB203))+1,10)))))*$D$50)))))*INDEX($I$200:$I$207,MATCH(LEFT(AB203,FIND("·",AB203)-1),$K$200:$K$207,0)),0),0),0)+IFERROR(IF(COUNTIF($C$200:$C$207,LEFT(AB203,FIND("·",AB203)-1))&gt;0,IF(INDEX($D$200:$D$207,MATCH(LEFT(AB203,FIND("·",AB203)-1),$C$200:$C$207,0))=IFERROR(VALUE(MID(AB203,FIND("·",AB203)+1,1)),0),($D$20+(INDEX($E$200:$E$207,MATCH(LEFT(AB203,FIND("·",AB203)-1),$C$200:$C$207,0))=MID(AB203,FIND("|",AB203)+1,10))*$D$22+MAX(0,IF($D$50=1,$D$21*(1-(ABS(INDEX($Q$200:$Q$207,MATCH(LEFT(AB203,FIND("·",AB203)-1),$C$200:$C$207,0))-(VALUE(MID(AB203,FIND("|",AB203)+1,FIND("-",AB203,FIND("|",AB203))-FIND("|",AB203)-1))-VALUE(MID(AB203,FIND("-",AB203,FIND("|",AB203))+1,10)))))*$D$50),$D$21*(1-(IF(INDEX($D$200:$D$207,MATCH(LEFT(AB203,FIND("·",AB203)-1),$C$200:$C$207,0))=0,ABS(INDEX($A$200:$A$207,MATCH(LEFT(AB203,FIND("·",AB203)-1),$C$200:$C$207,0))-VALUE(MID(AB203,FIND("|",AB203)+1,FIND("-",AB203,FIND("|",AB203))-FIND("|",AB203)-1))),ABS(INDEX($Q$200:$Q$207,MATCH(LEFT(AB203,FIND("·",AB203)-1),$C$200:$C$207,0))-(VALUE(MID(AB203,FIND("|",AB203)+1,FIND("-",AB203,FIND("|",AB203))-FIND("|",AB203)-1))-VALUE(MID(AB203,FIND("-",AB203,FIND("|",AB203))+1,10)))))*$D$50)))))*INDEX($I$200:$I$207,MATCH(LEFT(AB203,FIND("·",AB203)-1),$C$200:$C$207,0)),0),0),0)</f>
        <v>0</v>
      </c>
      <c r="AD203" s="110"/>
      <c r="AE203" s="80" t="s">
        <v>1998</v>
      </c>
      <c r="AF203" s="73">
        <f ca="1">IFERROR(IF(COUNTIF($K$200:$K$207,LEFT(AE203,FIND("·",AE203)-1))&gt;0,IF(INDEX($L$200:$L$207,MATCH(LEFT(AE203,FIND("·",AE203)-1),$K$200:$K$207,0))=IFERROR(VALUE(MID(AE203,FIND("·",AE203)+1,1)),0),($D$20+(INDEX($M$200:$M$207,MATCH(LEFT(AE203,FIND("·",AE203)-1),$K$200:$K$207,0))=MID(AE203,FIND("|",AE203)+1,10))*$D$22+MAX(0,IF($D$50=1,$D$21*(1-(ABS(INDEX($P$200:$P$207,MATCH(LEFT(AE203,FIND("·",AE203)-1),$K$200:$K$207,0))-(VALUE(MID(AE203,FIND("|",AE203)+1,FIND("-",AE203,FIND("|",AE203))-FIND("|",AE203)-1))-VALUE(MID(AE203,FIND("-",AE203,FIND("|",AE203))+1,10)))))*$D$50),$D$21*(1-(IF(INDEX($L$200:$L$207,MATCH(LEFT(AE203,FIND("·",AE203)-1),$K$200:$K$207,0))=0,ABS(INDEX($N$200:$N$207,MATCH(LEFT(AE203,FIND("·",AE203)-1),$K$200:$K$207,0))-VALUE(MID(AE203,FIND("|",AE203)+1,FIND("-",AE203,FIND("|",AE203))-FIND("|",AE203)-1))),ABS(INDEX($P$200:$P$207,MATCH(LEFT(AE203,FIND("·",AE203)-1),$K$200:$K$207,0))-(VALUE(MID(AE203,FIND("|",AE203)+1,FIND("-",AE203,FIND("|",AE203))-FIND("|",AE203)-1))-VALUE(MID(AE203,FIND("-",AE203,FIND("|",AE203))+1,10)))))*$D$50)))))*INDEX($I$200:$I$207,MATCH(LEFT(AE203,FIND("·",AE203)-1),$K$200:$K$207,0)),0),0),0)+IFERROR(IF(COUNTIF($C$200:$C$207,LEFT(AE203,FIND("·",AE203)-1))&gt;0,IF(INDEX($D$200:$D$207,MATCH(LEFT(AE203,FIND("·",AE203)-1),$C$200:$C$207,0))=IFERROR(VALUE(MID(AE203,FIND("·",AE203)+1,1)),0),($D$20+(INDEX($E$200:$E$207,MATCH(LEFT(AE203,FIND("·",AE203)-1),$C$200:$C$207,0))=MID(AE203,FIND("|",AE203)+1,10))*$D$22+MAX(0,IF($D$50=1,$D$21*(1-(ABS(INDEX($Q$200:$Q$207,MATCH(LEFT(AE203,FIND("·",AE203)-1),$C$200:$C$207,0))-(VALUE(MID(AE203,FIND("|",AE203)+1,FIND("-",AE203,FIND("|",AE203))-FIND("|",AE203)-1))-VALUE(MID(AE203,FIND("-",AE203,FIND("|",AE203))+1,10)))))*$D$50),$D$21*(1-(IF(INDEX($D$200:$D$207,MATCH(LEFT(AE203,FIND("·",AE203)-1),$C$200:$C$207,0))=0,ABS(INDEX($A$200:$A$207,MATCH(LEFT(AE203,FIND("·",AE203)-1),$C$200:$C$207,0))-VALUE(MID(AE203,FIND("|",AE203)+1,FIND("-",AE203,FIND("|",AE203))-FIND("|",AE203)-1))),ABS(INDEX($Q$200:$Q$207,MATCH(LEFT(AE203,FIND("·",AE203)-1),$C$200:$C$207,0))-(VALUE(MID(AE203,FIND("|",AE203)+1,FIND("-",AE203,FIND("|",AE203))-FIND("|",AE203)-1))-VALUE(MID(AE203,FIND("-",AE203,FIND("|",AE203))+1,10)))))*$D$50)))))*INDEX($I$200:$I$207,MATCH(LEFT(AE203,FIND("·",AE203)-1),$C$200:$C$207,0)),0),0),0)</f>
        <v>0</v>
      </c>
      <c r="AG203" s="110"/>
      <c r="AH203" s="80" t="s">
        <v>1998</v>
      </c>
      <c r="AI203" s="73">
        <f t="shared" ca="1" si="541"/>
        <v>0</v>
      </c>
      <c r="AJ203" s="110"/>
      <c r="AK203" s="80" t="s">
        <v>1998</v>
      </c>
      <c r="AL203" s="73">
        <f t="shared" ca="1" si="541"/>
        <v>0</v>
      </c>
      <c r="AM203" s="110"/>
      <c r="AN203" s="80"/>
      <c r="AO203" s="73">
        <f t="shared" ca="1" si="541"/>
        <v>0</v>
      </c>
      <c r="AP203" s="110"/>
      <c r="AQ203" s="80"/>
      <c r="AR203" s="73">
        <f t="shared" ca="1" si="541"/>
        <v>0</v>
      </c>
      <c r="AS203" s="110"/>
      <c r="AT203" s="80"/>
      <c r="AU203" s="73">
        <f t="shared" ca="1" si="541"/>
        <v>0</v>
      </c>
      <c r="AV203" s="110"/>
      <c r="AW203" s="80"/>
      <c r="AX203" s="73">
        <f t="shared" ca="1" si="541"/>
        <v>0</v>
      </c>
      <c r="AY203" s="110"/>
      <c r="AZ203" s="80"/>
      <c r="BA203" s="73">
        <f t="shared" ca="1" si="541"/>
        <v>0</v>
      </c>
      <c r="BB203" s="110"/>
      <c r="BC203" s="80"/>
      <c r="BD203" s="73">
        <f t="shared" ca="1" si="541"/>
        <v>0</v>
      </c>
      <c r="BE203" s="110"/>
      <c r="BF203" s="80"/>
      <c r="BG203" s="73">
        <f t="shared" ca="1" si="541"/>
        <v>0</v>
      </c>
      <c r="BH203" s="110"/>
      <c r="BI203" s="80"/>
      <c r="BJ203" s="73">
        <f t="shared" ca="1" si="541"/>
        <v>0</v>
      </c>
      <c r="BK203" s="110"/>
      <c r="BL203" s="80"/>
      <c r="BM203" s="73">
        <f t="shared" ca="1" si="541"/>
        <v>0</v>
      </c>
      <c r="BN203" s="110"/>
      <c r="BO203" s="80"/>
      <c r="BP203" s="73">
        <f t="shared" ca="1" si="541"/>
        <v>0</v>
      </c>
      <c r="BQ203" s="110"/>
      <c r="BR203" s="80"/>
      <c r="BS203" s="73">
        <f t="shared" ca="1" si="541"/>
        <v>0</v>
      </c>
      <c r="BT203" s="110"/>
      <c r="BU203" s="80"/>
      <c r="BV203" s="73">
        <f t="shared" ca="1" si="541"/>
        <v>0</v>
      </c>
      <c r="BW203" s="110"/>
      <c r="BX203" s="80"/>
      <c r="BY203" s="73">
        <f t="shared" ca="1" si="541"/>
        <v>0</v>
      </c>
      <c r="BZ203" s="110"/>
      <c r="CA203" s="80"/>
      <c r="CB203" s="73">
        <f t="shared" ca="1" si="541"/>
        <v>0</v>
      </c>
      <c r="CC203" s="110"/>
      <c r="CD203" s="80"/>
      <c r="CE203" s="73">
        <f t="shared" ca="1" si="541"/>
        <v>0</v>
      </c>
      <c r="CF203" s="110"/>
      <c r="CG203" s="80"/>
      <c r="CH203" s="73">
        <f t="shared" ca="1" si="541"/>
        <v>0</v>
      </c>
      <c r="CI203" s="110"/>
      <c r="CJ203" s="80"/>
      <c r="CK203" s="73">
        <f t="shared" ca="1" si="561"/>
        <v>0</v>
      </c>
      <c r="CL203" s="110"/>
      <c r="CM203" s="80"/>
      <c r="CN203" s="73">
        <f t="shared" ca="1" si="561"/>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3"/>
        <v>0</v>
      </c>
      <c r="G204" s="407">
        <f ca="1">VLOOKUP(H204,Equipos!$Q$1:$R$25,2,0)</f>
        <v>21</v>
      </c>
      <c r="H204" s="65" t="str">
        <f>Idiomas!$D$261</f>
        <v>Octavos de final</v>
      </c>
      <c r="I204" s="43">
        <v>1</v>
      </c>
      <c r="J204" s="846"/>
      <c r="K204" s="56" t="str">
        <f>CONCATENATE(WORLDCUP!AA124,"-",WORLDCUP!AF124)</f>
        <v>W83-W84</v>
      </c>
      <c r="L204" s="53" t="str">
        <f>IF(OR(WORLDCUP!AC124="",WORLDCUP!AD124=""),"PD",IF(WORLDCUP!AC124&gt;WORLDCUP!AD124,1,IF(WORLDCUP!AC124&lt;WORLDCUP!AD124,2,0)))</f>
        <v>PD</v>
      </c>
      <c r="M204" s="55" t="str">
        <f t="shared" si="538"/>
        <v>-</v>
      </c>
      <c r="N204" s="25">
        <f>WORLDCUP!AC124</f>
        <v>0</v>
      </c>
      <c r="O204" s="25">
        <f>WORLDCUP!AD124</f>
        <v>0</v>
      </c>
      <c r="P204" s="25">
        <f t="shared" si="539"/>
        <v>0</v>
      </c>
      <c r="Q204" s="25">
        <f t="shared" si="540"/>
        <v>0</v>
      </c>
      <c r="R204" s="110"/>
      <c r="S204" s="74" t="s">
        <v>1999</v>
      </c>
      <c r="T204" s="73">
        <f t="shared" ca="1" si="564"/>
        <v>0</v>
      </c>
      <c r="U204" s="110"/>
      <c r="V204" s="74" t="s">
        <v>1999</v>
      </c>
      <c r="W204" s="73">
        <f t="shared" ca="1" si="541"/>
        <v>0</v>
      </c>
      <c r="X204" s="110"/>
      <c r="Y204" s="80" t="s">
        <v>2080</v>
      </c>
      <c r="Z204" s="73">
        <f t="shared" ca="1" si="541"/>
        <v>0</v>
      </c>
      <c r="AA204" s="110"/>
      <c r="AB204" s="80" t="s">
        <v>2098</v>
      </c>
      <c r="AC204" s="73">
        <f ca="1">IFERROR(IF(COUNTIF($K$200:$K$207,LEFT(AB204,FIND("·",AB204)-1))&gt;0,IF(INDEX($L$200:$L$207,MATCH(LEFT(AB204,FIND("·",AB204)-1),$K$200:$K$207,0))=IFERROR(VALUE(MID(AB204,FIND("·",AB204)+1,1)),0),($D$20+(INDEX($M$200:$M$207,MATCH(LEFT(AB204,FIND("·",AB204)-1),$K$200:$K$207,0))=MID(AB204,FIND("|",AB204)+1,10))*$D$22+MAX(0,IF($D$50=1,$D$21*(1-(ABS(INDEX($P$200:$P$207,MATCH(LEFT(AB204,FIND("·",AB204)-1),$K$200:$K$207,0))-(VALUE(MID(AB204,FIND("|",AB204)+1,FIND("-",AB204,FIND("|",AB204))-FIND("|",AB204)-1))-VALUE(MID(AB204,FIND("-",AB204,FIND("|",AB204))+1,10)))))*$D$50),$D$21*(1-(IF(INDEX($L$200:$L$207,MATCH(LEFT(AB204,FIND("·",AB204)-1),$K$200:$K$207,0))=0,ABS(INDEX($N$200:$N$207,MATCH(LEFT(AB204,FIND("·",AB204)-1),$K$200:$K$207,0))-VALUE(MID(AB204,FIND("|",AB204)+1,FIND("-",AB204,FIND("|",AB204))-FIND("|",AB204)-1))),ABS(INDEX($P$200:$P$207,MATCH(LEFT(AB204,FIND("·",AB204)-1),$K$200:$K$207,0))-(VALUE(MID(AB204,FIND("|",AB204)+1,FIND("-",AB204,FIND("|",AB204))-FIND("|",AB204)-1))-VALUE(MID(AB204,FIND("-",AB204,FIND("|",AB204))+1,10)))))*$D$50)))))*INDEX($I$200:$I$207,MATCH(LEFT(AB204,FIND("·",AB204)-1),$K$200:$K$207,0)),0),0),0)+IFERROR(IF(COUNTIF($C$200:$C$207,LEFT(AB204,FIND("·",AB204)-1))&gt;0,IF(INDEX($D$200:$D$207,MATCH(LEFT(AB204,FIND("·",AB204)-1),$C$200:$C$207,0))=IFERROR(VALUE(MID(AB204,FIND("·",AB204)+1,1)),0),($D$20+(INDEX($E$200:$E$207,MATCH(LEFT(AB204,FIND("·",AB204)-1),$C$200:$C$207,0))=MID(AB204,FIND("|",AB204)+1,10))*$D$22+MAX(0,IF($D$50=1,$D$21*(1-(ABS(INDEX($Q$200:$Q$207,MATCH(LEFT(AB204,FIND("·",AB204)-1),$C$200:$C$207,0))-(VALUE(MID(AB204,FIND("|",AB204)+1,FIND("-",AB204,FIND("|",AB204))-FIND("|",AB204)-1))-VALUE(MID(AB204,FIND("-",AB204,FIND("|",AB204))+1,10)))))*$D$50),$D$21*(1-(IF(INDEX($D$200:$D$207,MATCH(LEFT(AB204,FIND("·",AB204)-1),$C$200:$C$207,0))=0,ABS(INDEX($A$200:$A$207,MATCH(LEFT(AB204,FIND("·",AB204)-1),$C$200:$C$207,0))-VALUE(MID(AB204,FIND("|",AB204)+1,FIND("-",AB204,FIND("|",AB204))-FIND("|",AB204)-1))),ABS(INDEX($Q$200:$Q$207,MATCH(LEFT(AB204,FIND("·",AB204)-1),$C$200:$C$207,0))-(VALUE(MID(AB204,FIND("|",AB204)+1,FIND("-",AB204,FIND("|",AB204))-FIND("|",AB204)-1))-VALUE(MID(AB204,FIND("-",AB204,FIND("|",AB204))+1,10)))))*$D$50)))))*INDEX($I$200:$I$207,MATCH(LEFT(AB204,FIND("·",AB204)-1),$C$200:$C$207,0)),0),0),0)</f>
        <v>0</v>
      </c>
      <c r="AD204" s="110"/>
      <c r="AE204" s="80" t="s">
        <v>2059</v>
      </c>
      <c r="AF204" s="73">
        <f ca="1">IFERROR(IF(COUNTIF($K$200:$K$207,LEFT(AE204,FIND("·",AE204)-1))&gt;0,IF(INDEX($L$200:$L$207,MATCH(LEFT(AE204,FIND("·",AE204)-1),$K$200:$K$207,0))=IFERROR(VALUE(MID(AE204,FIND("·",AE204)+1,1)),0),($D$20+(INDEX($M$200:$M$207,MATCH(LEFT(AE204,FIND("·",AE204)-1),$K$200:$K$207,0))=MID(AE204,FIND("|",AE204)+1,10))*$D$22+MAX(0,IF($D$50=1,$D$21*(1-(ABS(INDEX($P$200:$P$207,MATCH(LEFT(AE204,FIND("·",AE204)-1),$K$200:$K$207,0))-(VALUE(MID(AE204,FIND("|",AE204)+1,FIND("-",AE204,FIND("|",AE204))-FIND("|",AE204)-1))-VALUE(MID(AE204,FIND("-",AE204,FIND("|",AE204))+1,10)))))*$D$50),$D$21*(1-(IF(INDEX($L$200:$L$207,MATCH(LEFT(AE204,FIND("·",AE204)-1),$K$200:$K$207,0))=0,ABS(INDEX($N$200:$N$207,MATCH(LEFT(AE204,FIND("·",AE204)-1),$K$200:$K$207,0))-VALUE(MID(AE204,FIND("|",AE204)+1,FIND("-",AE204,FIND("|",AE204))-FIND("|",AE204)-1))),ABS(INDEX($P$200:$P$207,MATCH(LEFT(AE204,FIND("·",AE204)-1),$K$200:$K$207,0))-(VALUE(MID(AE204,FIND("|",AE204)+1,FIND("-",AE204,FIND("|",AE204))-FIND("|",AE204)-1))-VALUE(MID(AE204,FIND("-",AE204,FIND("|",AE204))+1,10)))))*$D$50)))))*INDEX($I$200:$I$207,MATCH(LEFT(AE204,FIND("·",AE204)-1),$K$200:$K$207,0)),0),0),0)+IFERROR(IF(COUNTIF($C$200:$C$207,LEFT(AE204,FIND("·",AE204)-1))&gt;0,IF(INDEX($D$200:$D$207,MATCH(LEFT(AE204,FIND("·",AE204)-1),$C$200:$C$207,0))=IFERROR(VALUE(MID(AE204,FIND("·",AE204)+1,1)),0),($D$20+(INDEX($E$200:$E$207,MATCH(LEFT(AE204,FIND("·",AE204)-1),$C$200:$C$207,0))=MID(AE204,FIND("|",AE204)+1,10))*$D$22+MAX(0,IF($D$50=1,$D$21*(1-(ABS(INDEX($Q$200:$Q$207,MATCH(LEFT(AE204,FIND("·",AE204)-1),$C$200:$C$207,0))-(VALUE(MID(AE204,FIND("|",AE204)+1,FIND("-",AE204,FIND("|",AE204))-FIND("|",AE204)-1))-VALUE(MID(AE204,FIND("-",AE204,FIND("|",AE204))+1,10)))))*$D$50),$D$21*(1-(IF(INDEX($D$200:$D$207,MATCH(LEFT(AE204,FIND("·",AE204)-1),$C$200:$C$207,0))=0,ABS(INDEX($A$200:$A$207,MATCH(LEFT(AE204,FIND("·",AE204)-1),$C$200:$C$207,0))-VALUE(MID(AE204,FIND("|",AE204)+1,FIND("-",AE204,FIND("|",AE204))-FIND("|",AE204)-1))),ABS(INDEX($Q$200:$Q$207,MATCH(LEFT(AE204,FIND("·",AE204)-1),$C$200:$C$207,0))-(VALUE(MID(AE204,FIND("|",AE204)+1,FIND("-",AE204,FIND("|",AE204))-FIND("|",AE204)-1))-VALUE(MID(AE204,FIND("-",AE204,FIND("|",AE204))+1,10)))))*$D$50)))))*INDEX($I$200:$I$207,MATCH(LEFT(AE204,FIND("·",AE204)-1),$C$200:$C$207,0)),0),0),0)</f>
        <v>0</v>
      </c>
      <c r="AG204" s="110"/>
      <c r="AH204" s="80" t="s">
        <v>1999</v>
      </c>
      <c r="AI204" s="73">
        <f t="shared" ca="1" si="541"/>
        <v>0</v>
      </c>
      <c r="AJ204" s="110"/>
      <c r="AK204" s="80" t="s">
        <v>1999</v>
      </c>
      <c r="AL204" s="73">
        <f t="shared" ca="1" si="541"/>
        <v>0</v>
      </c>
      <c r="AM204" s="110"/>
      <c r="AN204" s="80"/>
      <c r="AO204" s="73">
        <f t="shared" ca="1" si="541"/>
        <v>0</v>
      </c>
      <c r="AP204" s="110"/>
      <c r="AQ204" s="80"/>
      <c r="AR204" s="73">
        <f t="shared" ca="1" si="541"/>
        <v>0</v>
      </c>
      <c r="AS204" s="110"/>
      <c r="AT204" s="80"/>
      <c r="AU204" s="73">
        <f t="shared" ca="1" si="541"/>
        <v>0</v>
      </c>
      <c r="AV204" s="110"/>
      <c r="AW204" s="80"/>
      <c r="AX204" s="73">
        <f t="shared" ca="1" si="541"/>
        <v>0</v>
      </c>
      <c r="AY204" s="110"/>
      <c r="AZ204" s="80"/>
      <c r="BA204" s="73">
        <f t="shared" ca="1" si="541"/>
        <v>0</v>
      </c>
      <c r="BB204" s="110"/>
      <c r="BC204" s="80"/>
      <c r="BD204" s="73">
        <f t="shared" ca="1" si="541"/>
        <v>0</v>
      </c>
      <c r="BE204" s="110"/>
      <c r="BF204" s="80"/>
      <c r="BG204" s="73">
        <f t="shared" ca="1" si="541"/>
        <v>0</v>
      </c>
      <c r="BH204" s="110"/>
      <c r="BI204" s="80"/>
      <c r="BJ204" s="73">
        <f t="shared" ca="1" si="541"/>
        <v>0</v>
      </c>
      <c r="BK204" s="110"/>
      <c r="BL204" s="80"/>
      <c r="BM204" s="73">
        <f t="shared" ca="1" si="541"/>
        <v>0</v>
      </c>
      <c r="BN204" s="110"/>
      <c r="BO204" s="80"/>
      <c r="BP204" s="73">
        <f t="shared" ca="1" si="541"/>
        <v>0</v>
      </c>
      <c r="BQ204" s="110"/>
      <c r="BR204" s="80"/>
      <c r="BS204" s="73">
        <f t="shared" ca="1" si="541"/>
        <v>0</v>
      </c>
      <c r="BT204" s="110"/>
      <c r="BU204" s="80"/>
      <c r="BV204" s="73">
        <f t="shared" ca="1" si="541"/>
        <v>0</v>
      </c>
      <c r="BW204" s="110"/>
      <c r="BX204" s="80"/>
      <c r="BY204" s="73">
        <f t="shared" ca="1" si="541"/>
        <v>0</v>
      </c>
      <c r="BZ204" s="110"/>
      <c r="CA204" s="80"/>
      <c r="CB204" s="73">
        <f t="shared" ca="1" si="541"/>
        <v>0</v>
      </c>
      <c r="CC204" s="110"/>
      <c r="CD204" s="80"/>
      <c r="CE204" s="73">
        <f t="shared" ca="1" si="541"/>
        <v>0</v>
      </c>
      <c r="CF204" s="110"/>
      <c r="CG204" s="80"/>
      <c r="CH204" s="73">
        <f t="shared" ca="1" si="541"/>
        <v>0</v>
      </c>
      <c r="CI204" s="110"/>
      <c r="CJ204" s="80"/>
      <c r="CK204" s="73">
        <f t="shared" ca="1" si="561"/>
        <v>0</v>
      </c>
      <c r="CL204" s="110"/>
      <c r="CM204" s="80"/>
      <c r="CN204" s="73">
        <f t="shared" ca="1" si="561"/>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3"/>
        <v>0</v>
      </c>
      <c r="G205" s="407">
        <f ca="1">VLOOKUP(H205,Equipos!$Q$1:$R$25,2,0)</f>
        <v>21</v>
      </c>
      <c r="H205" s="65" t="str">
        <f>Idiomas!$D$261</f>
        <v>Octavos de final</v>
      </c>
      <c r="I205" s="43">
        <v>1</v>
      </c>
      <c r="J205" s="846"/>
      <c r="K205" s="56" t="str">
        <f>CONCATENATE(WORLDCUP!AA125,"-",WORLDCUP!AF125)</f>
        <v>W81-W82</v>
      </c>
      <c r="L205" s="53" t="str">
        <f>IF(OR(WORLDCUP!AC125="",WORLDCUP!AD125=""),"PD",IF(WORLDCUP!AC125&gt;WORLDCUP!AD125,1,IF(WORLDCUP!AC125&lt;WORLDCUP!AD125,2,0)))</f>
        <v>PD</v>
      </c>
      <c r="M205" s="55" t="str">
        <f t="shared" si="538"/>
        <v>-</v>
      </c>
      <c r="N205" s="25">
        <f>WORLDCUP!AC125</f>
        <v>0</v>
      </c>
      <c r="O205" s="25">
        <f>WORLDCUP!AD125</f>
        <v>0</v>
      </c>
      <c r="P205" s="25">
        <f t="shared" si="539"/>
        <v>0</v>
      </c>
      <c r="Q205" s="25">
        <f t="shared" si="540"/>
        <v>0</v>
      </c>
      <c r="R205" s="110"/>
      <c r="S205" s="74" t="s">
        <v>2025</v>
      </c>
      <c r="T205" s="73">
        <f t="shared" ca="1" si="564"/>
        <v>0</v>
      </c>
      <c r="U205" s="110"/>
      <c r="V205" s="74" t="s">
        <v>2000</v>
      </c>
      <c r="W205" s="73">
        <f t="shared" ca="1" si="541"/>
        <v>0</v>
      </c>
      <c r="X205" s="110"/>
      <c r="Y205" s="80" t="s">
        <v>2081</v>
      </c>
      <c r="Z205" s="73">
        <f t="shared" ca="1" si="541"/>
        <v>0</v>
      </c>
      <c r="AA205" s="110"/>
      <c r="AB205" s="80" t="s">
        <v>2099</v>
      </c>
      <c r="AC205" s="73">
        <f ca="1">IFERROR(IF(COUNTIF($K$200:$K$207,LEFT(AB205,FIND("·",AB205)-1))&gt;0,IF(INDEX($L$200:$L$207,MATCH(LEFT(AB205,FIND("·",AB205)-1),$K$200:$K$207,0))=IFERROR(VALUE(MID(AB205,FIND("·",AB205)+1,1)),0),($D$20+(INDEX($M$200:$M$207,MATCH(LEFT(AB205,FIND("·",AB205)-1),$K$200:$K$207,0))=MID(AB205,FIND("|",AB205)+1,10))*$D$22+MAX(0,IF($D$50=1,$D$21*(1-(ABS(INDEX($P$200:$P$207,MATCH(LEFT(AB205,FIND("·",AB205)-1),$K$200:$K$207,0))-(VALUE(MID(AB205,FIND("|",AB205)+1,FIND("-",AB205,FIND("|",AB205))-FIND("|",AB205)-1))-VALUE(MID(AB205,FIND("-",AB205,FIND("|",AB205))+1,10)))))*$D$50),$D$21*(1-(IF(INDEX($L$200:$L$207,MATCH(LEFT(AB205,FIND("·",AB205)-1),$K$200:$K$207,0))=0,ABS(INDEX($N$200:$N$207,MATCH(LEFT(AB205,FIND("·",AB205)-1),$K$200:$K$207,0))-VALUE(MID(AB205,FIND("|",AB205)+1,FIND("-",AB205,FIND("|",AB205))-FIND("|",AB205)-1))),ABS(INDEX($P$200:$P$207,MATCH(LEFT(AB205,FIND("·",AB205)-1),$K$200:$K$207,0))-(VALUE(MID(AB205,FIND("|",AB205)+1,FIND("-",AB205,FIND("|",AB205))-FIND("|",AB205)-1))-VALUE(MID(AB205,FIND("-",AB205,FIND("|",AB205))+1,10)))))*$D$50)))))*INDEX($I$200:$I$207,MATCH(LEFT(AB205,FIND("·",AB205)-1),$K$200:$K$207,0)),0),0),0)+IFERROR(IF(COUNTIF($C$200:$C$207,LEFT(AB205,FIND("·",AB205)-1))&gt;0,IF(INDEX($D$200:$D$207,MATCH(LEFT(AB205,FIND("·",AB205)-1),$C$200:$C$207,0))=IFERROR(VALUE(MID(AB205,FIND("·",AB205)+1,1)),0),($D$20+(INDEX($E$200:$E$207,MATCH(LEFT(AB205,FIND("·",AB205)-1),$C$200:$C$207,0))=MID(AB205,FIND("|",AB205)+1,10))*$D$22+MAX(0,IF($D$50=1,$D$21*(1-(ABS(INDEX($Q$200:$Q$207,MATCH(LEFT(AB205,FIND("·",AB205)-1),$C$200:$C$207,0))-(VALUE(MID(AB205,FIND("|",AB205)+1,FIND("-",AB205,FIND("|",AB205))-FIND("|",AB205)-1))-VALUE(MID(AB205,FIND("-",AB205,FIND("|",AB205))+1,10)))))*$D$50),$D$21*(1-(IF(INDEX($D$200:$D$207,MATCH(LEFT(AB205,FIND("·",AB205)-1),$C$200:$C$207,0))=0,ABS(INDEX($A$200:$A$207,MATCH(LEFT(AB205,FIND("·",AB205)-1),$C$200:$C$207,0))-VALUE(MID(AB205,FIND("|",AB205)+1,FIND("-",AB205,FIND("|",AB205))-FIND("|",AB205)-1))),ABS(INDEX($Q$200:$Q$207,MATCH(LEFT(AB205,FIND("·",AB205)-1),$C$200:$C$207,0))-(VALUE(MID(AB205,FIND("|",AB205)+1,FIND("-",AB205,FIND("|",AB205))-FIND("|",AB205)-1))-VALUE(MID(AB205,FIND("-",AB205,FIND("|",AB205))+1,10)))))*$D$50)))))*INDEX($I$200:$I$207,MATCH(LEFT(AB205,FIND("·",AB205)-1),$C$200:$C$207,0)),0),0),0)</f>
        <v>0</v>
      </c>
      <c r="AD205" s="110"/>
      <c r="AE205" s="80" t="s">
        <v>2060</v>
      </c>
      <c r="AF205" s="73">
        <f ca="1">IFERROR(IF(COUNTIF($K$200:$K$207,LEFT(AE205,FIND("·",AE205)-1))&gt;0,IF(INDEX($L$200:$L$207,MATCH(LEFT(AE205,FIND("·",AE205)-1),$K$200:$K$207,0))=IFERROR(VALUE(MID(AE205,FIND("·",AE205)+1,1)),0),($D$20+(INDEX($M$200:$M$207,MATCH(LEFT(AE205,FIND("·",AE205)-1),$K$200:$K$207,0))=MID(AE205,FIND("|",AE205)+1,10))*$D$22+MAX(0,IF($D$50=1,$D$21*(1-(ABS(INDEX($P$200:$P$207,MATCH(LEFT(AE205,FIND("·",AE205)-1),$K$200:$K$207,0))-(VALUE(MID(AE205,FIND("|",AE205)+1,FIND("-",AE205,FIND("|",AE205))-FIND("|",AE205)-1))-VALUE(MID(AE205,FIND("-",AE205,FIND("|",AE205))+1,10)))))*$D$50),$D$21*(1-(IF(INDEX($L$200:$L$207,MATCH(LEFT(AE205,FIND("·",AE205)-1),$K$200:$K$207,0))=0,ABS(INDEX($N$200:$N$207,MATCH(LEFT(AE205,FIND("·",AE205)-1),$K$200:$K$207,0))-VALUE(MID(AE205,FIND("|",AE205)+1,FIND("-",AE205,FIND("|",AE205))-FIND("|",AE205)-1))),ABS(INDEX($P$200:$P$207,MATCH(LEFT(AE205,FIND("·",AE205)-1),$K$200:$K$207,0))-(VALUE(MID(AE205,FIND("|",AE205)+1,FIND("-",AE205,FIND("|",AE205))-FIND("|",AE205)-1))-VALUE(MID(AE205,FIND("-",AE205,FIND("|",AE205))+1,10)))))*$D$50)))))*INDEX($I$200:$I$207,MATCH(LEFT(AE205,FIND("·",AE205)-1),$K$200:$K$207,0)),0),0),0)+IFERROR(IF(COUNTIF($C$200:$C$207,LEFT(AE205,FIND("·",AE205)-1))&gt;0,IF(INDEX($D$200:$D$207,MATCH(LEFT(AE205,FIND("·",AE205)-1),$C$200:$C$207,0))=IFERROR(VALUE(MID(AE205,FIND("·",AE205)+1,1)),0),($D$20+(INDEX($E$200:$E$207,MATCH(LEFT(AE205,FIND("·",AE205)-1),$C$200:$C$207,0))=MID(AE205,FIND("|",AE205)+1,10))*$D$22+MAX(0,IF($D$50=1,$D$21*(1-(ABS(INDEX($Q$200:$Q$207,MATCH(LEFT(AE205,FIND("·",AE205)-1),$C$200:$C$207,0))-(VALUE(MID(AE205,FIND("|",AE205)+1,FIND("-",AE205,FIND("|",AE205))-FIND("|",AE205)-1))-VALUE(MID(AE205,FIND("-",AE205,FIND("|",AE205))+1,10)))))*$D$50),$D$21*(1-(IF(INDEX($D$200:$D$207,MATCH(LEFT(AE205,FIND("·",AE205)-1),$C$200:$C$207,0))=0,ABS(INDEX($A$200:$A$207,MATCH(LEFT(AE205,FIND("·",AE205)-1),$C$200:$C$207,0))-VALUE(MID(AE205,FIND("|",AE205)+1,FIND("-",AE205,FIND("|",AE205))-FIND("|",AE205)-1))),ABS(INDEX($Q$200:$Q$207,MATCH(LEFT(AE205,FIND("·",AE205)-1),$C$200:$C$207,0))-(VALUE(MID(AE205,FIND("|",AE205)+1,FIND("-",AE205,FIND("|",AE205))-FIND("|",AE205)-1))-VALUE(MID(AE205,FIND("-",AE205,FIND("|",AE205))+1,10)))))*$D$50)))))*INDEX($I$200:$I$207,MATCH(LEFT(AE205,FIND("·",AE205)-1),$C$200:$C$207,0)),0),0),0)</f>
        <v>0</v>
      </c>
      <c r="AG205" s="110"/>
      <c r="AH205" s="80" t="s">
        <v>2060</v>
      </c>
      <c r="AI205" s="73">
        <f t="shared" ca="1" si="541"/>
        <v>0</v>
      </c>
      <c r="AJ205" s="110"/>
      <c r="AK205" s="80" t="s">
        <v>2000</v>
      </c>
      <c r="AL205" s="73">
        <f t="shared" ca="1" si="541"/>
        <v>0</v>
      </c>
      <c r="AM205" s="110"/>
      <c r="AN205" s="80"/>
      <c r="AO205" s="73">
        <f t="shared" ca="1" si="541"/>
        <v>0</v>
      </c>
      <c r="AP205" s="110"/>
      <c r="AQ205" s="80"/>
      <c r="AR205" s="73">
        <f t="shared" ca="1" si="541"/>
        <v>0</v>
      </c>
      <c r="AS205" s="110"/>
      <c r="AT205" s="80"/>
      <c r="AU205" s="73">
        <f t="shared" ca="1" si="541"/>
        <v>0</v>
      </c>
      <c r="AV205" s="110"/>
      <c r="AW205" s="80"/>
      <c r="AX205" s="73">
        <f t="shared" ca="1" si="541"/>
        <v>0</v>
      </c>
      <c r="AY205" s="110"/>
      <c r="AZ205" s="80"/>
      <c r="BA205" s="73">
        <f t="shared" ca="1" si="541"/>
        <v>0</v>
      </c>
      <c r="BB205" s="110"/>
      <c r="BC205" s="80"/>
      <c r="BD205" s="73">
        <f t="shared" ca="1" si="541"/>
        <v>0</v>
      </c>
      <c r="BE205" s="110"/>
      <c r="BF205" s="80"/>
      <c r="BG205" s="73">
        <f t="shared" ca="1" si="541"/>
        <v>0</v>
      </c>
      <c r="BH205" s="110"/>
      <c r="BI205" s="80"/>
      <c r="BJ205" s="73">
        <f t="shared" ca="1" si="541"/>
        <v>0</v>
      </c>
      <c r="BK205" s="110"/>
      <c r="BL205" s="80"/>
      <c r="BM205" s="73">
        <f t="shared" ca="1" si="541"/>
        <v>0</v>
      </c>
      <c r="BN205" s="110"/>
      <c r="BO205" s="80"/>
      <c r="BP205" s="73">
        <f t="shared" ca="1" si="541"/>
        <v>0</v>
      </c>
      <c r="BQ205" s="110"/>
      <c r="BR205" s="80"/>
      <c r="BS205" s="73">
        <f t="shared" ca="1" si="541"/>
        <v>0</v>
      </c>
      <c r="BT205" s="110"/>
      <c r="BU205" s="80"/>
      <c r="BV205" s="73">
        <f t="shared" ca="1" si="541"/>
        <v>0</v>
      </c>
      <c r="BW205" s="110"/>
      <c r="BX205" s="80"/>
      <c r="BY205" s="73">
        <f t="shared" ca="1" si="541"/>
        <v>0</v>
      </c>
      <c r="BZ205" s="110"/>
      <c r="CA205" s="80"/>
      <c r="CB205" s="73">
        <f t="shared" ca="1" si="541"/>
        <v>0</v>
      </c>
      <c r="CC205" s="110"/>
      <c r="CD205" s="80"/>
      <c r="CE205" s="73">
        <f t="shared" ca="1" si="541"/>
        <v>0</v>
      </c>
      <c r="CF205" s="110"/>
      <c r="CG205" s="80"/>
      <c r="CH205" s="73">
        <f t="shared" ca="1" si="541"/>
        <v>0</v>
      </c>
      <c r="CI205" s="110"/>
      <c r="CJ205" s="80"/>
      <c r="CK205" s="73">
        <f t="shared" ca="1" si="561"/>
        <v>0</v>
      </c>
      <c r="CL205" s="110"/>
      <c r="CM205" s="80"/>
      <c r="CN205" s="73">
        <f t="shared" ca="1" si="561"/>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3"/>
        <v>0</v>
      </c>
      <c r="G206" s="407">
        <f ca="1">VLOOKUP(H206,Equipos!$Q$1:$R$25,2,0)</f>
        <v>21</v>
      </c>
      <c r="H206" s="65" t="str">
        <f>Idiomas!$D$261</f>
        <v>Octavos de final</v>
      </c>
      <c r="I206" s="43">
        <v>1</v>
      </c>
      <c r="J206" s="846"/>
      <c r="K206" s="56" t="str">
        <f>CONCATENATE(WORLDCUP!AA126,"-",WORLDCUP!AF126)</f>
        <v>W86-W88</v>
      </c>
      <c r="L206" s="53" t="str">
        <f>IF(OR(WORLDCUP!AC126="",WORLDCUP!AD126=""),"PD",IF(WORLDCUP!AC126&gt;WORLDCUP!AD126,1,IF(WORLDCUP!AC126&lt;WORLDCUP!AD126,2,0)))</f>
        <v>PD</v>
      </c>
      <c r="M206" s="55" t="str">
        <f t="shared" si="538"/>
        <v>-</v>
      </c>
      <c r="N206" s="25">
        <f>WORLDCUP!AC126</f>
        <v>0</v>
      </c>
      <c r="O206" s="25">
        <f>WORLDCUP!AD126</f>
        <v>0</v>
      </c>
      <c r="P206" s="25">
        <f t="shared" si="539"/>
        <v>0</v>
      </c>
      <c r="Q206" s="25">
        <f t="shared" si="540"/>
        <v>0</v>
      </c>
      <c r="R206" s="110"/>
      <c r="S206" s="74" t="s">
        <v>2026</v>
      </c>
      <c r="T206" s="73">
        <f t="shared" ca="1" si="564"/>
        <v>0</v>
      </c>
      <c r="U206" s="110"/>
      <c r="V206" s="74" t="s">
        <v>2001</v>
      </c>
      <c r="W206" s="73">
        <f t="shared" ca="1" si="541"/>
        <v>0</v>
      </c>
      <c r="X206" s="110"/>
      <c r="Y206" s="80" t="s">
        <v>2082</v>
      </c>
      <c r="Z206" s="73">
        <f t="shared" ca="1" si="541"/>
        <v>0</v>
      </c>
      <c r="AA206" s="110"/>
      <c r="AB206" s="80" t="s">
        <v>2082</v>
      </c>
      <c r="AC206" s="73">
        <f ca="1">IFERROR(IF(COUNTIF($K$200:$K$207,LEFT(AB206,FIND("·",AB206)-1))&gt;0,IF(INDEX($L$200:$L$207,MATCH(LEFT(AB206,FIND("·",AB206)-1),$K$200:$K$207,0))=IFERROR(VALUE(MID(AB206,FIND("·",AB206)+1,1)),0),($D$20+(INDEX($M$200:$M$207,MATCH(LEFT(AB206,FIND("·",AB206)-1),$K$200:$K$207,0))=MID(AB206,FIND("|",AB206)+1,10))*$D$22+MAX(0,IF($D$50=1,$D$21*(1-(ABS(INDEX($P$200:$P$207,MATCH(LEFT(AB206,FIND("·",AB206)-1),$K$200:$K$207,0))-(VALUE(MID(AB206,FIND("|",AB206)+1,FIND("-",AB206,FIND("|",AB206))-FIND("|",AB206)-1))-VALUE(MID(AB206,FIND("-",AB206,FIND("|",AB206))+1,10)))))*$D$50),$D$21*(1-(IF(INDEX($L$200:$L$207,MATCH(LEFT(AB206,FIND("·",AB206)-1),$K$200:$K$207,0))=0,ABS(INDEX($N$200:$N$207,MATCH(LEFT(AB206,FIND("·",AB206)-1),$K$200:$K$207,0))-VALUE(MID(AB206,FIND("|",AB206)+1,FIND("-",AB206,FIND("|",AB206))-FIND("|",AB206)-1))),ABS(INDEX($P$200:$P$207,MATCH(LEFT(AB206,FIND("·",AB206)-1),$K$200:$K$207,0))-(VALUE(MID(AB206,FIND("|",AB206)+1,FIND("-",AB206,FIND("|",AB206))-FIND("|",AB206)-1))-VALUE(MID(AB206,FIND("-",AB206,FIND("|",AB206))+1,10)))))*$D$50)))))*INDEX($I$200:$I$207,MATCH(LEFT(AB206,FIND("·",AB206)-1),$K$200:$K$207,0)),0),0),0)+IFERROR(IF(COUNTIF($C$200:$C$207,LEFT(AB206,FIND("·",AB206)-1))&gt;0,IF(INDEX($D$200:$D$207,MATCH(LEFT(AB206,FIND("·",AB206)-1),$C$200:$C$207,0))=IFERROR(VALUE(MID(AB206,FIND("·",AB206)+1,1)),0),($D$20+(INDEX($E$200:$E$207,MATCH(LEFT(AB206,FIND("·",AB206)-1),$C$200:$C$207,0))=MID(AB206,FIND("|",AB206)+1,10))*$D$22+MAX(0,IF($D$50=1,$D$21*(1-(ABS(INDEX($Q$200:$Q$207,MATCH(LEFT(AB206,FIND("·",AB206)-1),$C$200:$C$207,0))-(VALUE(MID(AB206,FIND("|",AB206)+1,FIND("-",AB206,FIND("|",AB206))-FIND("|",AB206)-1))-VALUE(MID(AB206,FIND("-",AB206,FIND("|",AB206))+1,10)))))*$D$50),$D$21*(1-(IF(INDEX($D$200:$D$207,MATCH(LEFT(AB206,FIND("·",AB206)-1),$C$200:$C$207,0))=0,ABS(INDEX($A$200:$A$207,MATCH(LEFT(AB206,FIND("·",AB206)-1),$C$200:$C$207,0))-VALUE(MID(AB206,FIND("|",AB206)+1,FIND("-",AB206,FIND("|",AB206))-FIND("|",AB206)-1))),ABS(INDEX($Q$200:$Q$207,MATCH(LEFT(AB206,FIND("·",AB206)-1),$C$200:$C$207,0))-(VALUE(MID(AB206,FIND("|",AB206)+1,FIND("-",AB206,FIND("|",AB206))-FIND("|",AB206)-1))-VALUE(MID(AB206,FIND("-",AB206,FIND("|",AB206))+1,10)))))*$D$50)))))*INDEX($I$200:$I$207,MATCH(LEFT(AB206,FIND("·",AB206)-1),$C$200:$C$207,0)),0),0),0)</f>
        <v>0</v>
      </c>
      <c r="AD206" s="110"/>
      <c r="AE206" s="80" t="s">
        <v>2001</v>
      </c>
      <c r="AF206" s="73">
        <f ca="1">IFERROR(IF(COUNTIF($K$200:$K$207,LEFT(AE206,FIND("·",AE206)-1))&gt;0,IF(INDEX($L$200:$L$207,MATCH(LEFT(AE206,FIND("·",AE206)-1),$K$200:$K$207,0))=IFERROR(VALUE(MID(AE206,FIND("·",AE206)+1,1)),0),($D$20+(INDEX($M$200:$M$207,MATCH(LEFT(AE206,FIND("·",AE206)-1),$K$200:$K$207,0))=MID(AE206,FIND("|",AE206)+1,10))*$D$22+MAX(0,IF($D$50=1,$D$21*(1-(ABS(INDEX($P$200:$P$207,MATCH(LEFT(AE206,FIND("·",AE206)-1),$K$200:$K$207,0))-(VALUE(MID(AE206,FIND("|",AE206)+1,FIND("-",AE206,FIND("|",AE206))-FIND("|",AE206)-1))-VALUE(MID(AE206,FIND("-",AE206,FIND("|",AE206))+1,10)))))*$D$50),$D$21*(1-(IF(INDEX($L$200:$L$207,MATCH(LEFT(AE206,FIND("·",AE206)-1),$K$200:$K$207,0))=0,ABS(INDEX($N$200:$N$207,MATCH(LEFT(AE206,FIND("·",AE206)-1),$K$200:$K$207,0))-VALUE(MID(AE206,FIND("|",AE206)+1,FIND("-",AE206,FIND("|",AE206))-FIND("|",AE206)-1))),ABS(INDEX($P$200:$P$207,MATCH(LEFT(AE206,FIND("·",AE206)-1),$K$200:$K$207,0))-(VALUE(MID(AE206,FIND("|",AE206)+1,FIND("-",AE206,FIND("|",AE206))-FIND("|",AE206)-1))-VALUE(MID(AE206,FIND("-",AE206,FIND("|",AE206))+1,10)))))*$D$50)))))*INDEX($I$200:$I$207,MATCH(LEFT(AE206,FIND("·",AE206)-1),$K$200:$K$207,0)),0),0),0)+IFERROR(IF(COUNTIF($C$200:$C$207,LEFT(AE206,FIND("·",AE206)-1))&gt;0,IF(INDEX($D$200:$D$207,MATCH(LEFT(AE206,FIND("·",AE206)-1),$C$200:$C$207,0))=IFERROR(VALUE(MID(AE206,FIND("·",AE206)+1,1)),0),($D$20+(INDEX($E$200:$E$207,MATCH(LEFT(AE206,FIND("·",AE206)-1),$C$200:$C$207,0))=MID(AE206,FIND("|",AE206)+1,10))*$D$22+MAX(0,IF($D$50=1,$D$21*(1-(ABS(INDEX($Q$200:$Q$207,MATCH(LEFT(AE206,FIND("·",AE206)-1),$C$200:$C$207,0))-(VALUE(MID(AE206,FIND("|",AE206)+1,FIND("-",AE206,FIND("|",AE206))-FIND("|",AE206)-1))-VALUE(MID(AE206,FIND("-",AE206,FIND("|",AE206))+1,10)))))*$D$50),$D$21*(1-(IF(INDEX($D$200:$D$207,MATCH(LEFT(AE206,FIND("·",AE206)-1),$C$200:$C$207,0))=0,ABS(INDEX($A$200:$A$207,MATCH(LEFT(AE206,FIND("·",AE206)-1),$C$200:$C$207,0))-VALUE(MID(AE206,FIND("|",AE206)+1,FIND("-",AE206,FIND("|",AE206))-FIND("|",AE206)-1))),ABS(INDEX($Q$200:$Q$207,MATCH(LEFT(AE206,FIND("·",AE206)-1),$C$200:$C$207,0))-(VALUE(MID(AE206,FIND("|",AE206)+1,FIND("-",AE206,FIND("|",AE206))-FIND("|",AE206)-1))-VALUE(MID(AE206,FIND("-",AE206,FIND("|",AE206))+1,10)))))*$D$50)))))*INDEX($I$200:$I$207,MATCH(LEFT(AE206,FIND("·",AE206)-1),$C$200:$C$207,0)),0),0),0)</f>
        <v>0</v>
      </c>
      <c r="AG206" s="110"/>
      <c r="AH206" s="80" t="s">
        <v>2026</v>
      </c>
      <c r="AI206" s="73">
        <f t="shared" ca="1" si="541"/>
        <v>0</v>
      </c>
      <c r="AJ206" s="110"/>
      <c r="AK206" s="80" t="s">
        <v>2001</v>
      </c>
      <c r="AL206" s="73">
        <f t="shared" ca="1" si="541"/>
        <v>0</v>
      </c>
      <c r="AM206" s="110"/>
      <c r="AN206" s="80"/>
      <c r="AO206" s="73">
        <f t="shared" ca="1" si="541"/>
        <v>0</v>
      </c>
      <c r="AP206" s="110"/>
      <c r="AQ206" s="80"/>
      <c r="AR206" s="73">
        <f t="shared" ca="1" si="541"/>
        <v>0</v>
      </c>
      <c r="AS206" s="110"/>
      <c r="AT206" s="80"/>
      <c r="AU206" s="73">
        <f t="shared" ca="1" si="541"/>
        <v>0</v>
      </c>
      <c r="AV206" s="110"/>
      <c r="AW206" s="80"/>
      <c r="AX206" s="73">
        <f t="shared" ca="1" si="541"/>
        <v>0</v>
      </c>
      <c r="AY206" s="110"/>
      <c r="AZ206" s="80"/>
      <c r="BA206" s="73">
        <f t="shared" ca="1" si="541"/>
        <v>0</v>
      </c>
      <c r="BB206" s="110"/>
      <c r="BC206" s="80"/>
      <c r="BD206" s="73">
        <f t="shared" ca="1" si="541"/>
        <v>0</v>
      </c>
      <c r="BE206" s="110"/>
      <c r="BF206" s="80"/>
      <c r="BG206" s="73">
        <f t="shared" ca="1" si="541"/>
        <v>0</v>
      </c>
      <c r="BH206" s="110"/>
      <c r="BI206" s="80"/>
      <c r="BJ206" s="73">
        <f t="shared" ca="1" si="541"/>
        <v>0</v>
      </c>
      <c r="BK206" s="110"/>
      <c r="BL206" s="80"/>
      <c r="BM206" s="73">
        <f t="shared" ca="1" si="541"/>
        <v>0</v>
      </c>
      <c r="BN206" s="110"/>
      <c r="BO206" s="80"/>
      <c r="BP206" s="73">
        <f t="shared" ca="1" si="541"/>
        <v>0</v>
      </c>
      <c r="BQ206" s="110"/>
      <c r="BR206" s="80"/>
      <c r="BS206" s="73">
        <f t="shared" ca="1" si="541"/>
        <v>0</v>
      </c>
      <c r="BT206" s="110"/>
      <c r="BU206" s="80"/>
      <c r="BV206" s="73">
        <f t="shared" ca="1" si="541"/>
        <v>0</v>
      </c>
      <c r="BW206" s="110"/>
      <c r="BX206" s="80"/>
      <c r="BY206" s="73">
        <f t="shared" ca="1" si="541"/>
        <v>0</v>
      </c>
      <c r="BZ206" s="110"/>
      <c r="CA206" s="80"/>
      <c r="CB206" s="73">
        <f t="shared" ca="1" si="541"/>
        <v>0</v>
      </c>
      <c r="CC206" s="110"/>
      <c r="CD206" s="80"/>
      <c r="CE206" s="73">
        <f t="shared" ca="1" si="541"/>
        <v>0</v>
      </c>
      <c r="CF206" s="110"/>
      <c r="CG206" s="80"/>
      <c r="CH206" s="73">
        <f t="shared" ca="1" si="541"/>
        <v>0</v>
      </c>
      <c r="CI206" s="110"/>
      <c r="CJ206" s="80"/>
      <c r="CK206" s="73">
        <f t="shared" ca="1" si="561"/>
        <v>0</v>
      </c>
      <c r="CL206" s="110"/>
      <c r="CM206" s="80"/>
      <c r="CN206" s="73">
        <f t="shared" ca="1" si="561"/>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3"/>
        <v>0</v>
      </c>
      <c r="G207" s="407">
        <f ca="1">VLOOKUP(H207,Equipos!$Q$1:$R$25,2,0)</f>
        <v>21</v>
      </c>
      <c r="H207" s="65" t="str">
        <f>Idiomas!$D$261</f>
        <v>Octavos de final</v>
      </c>
      <c r="I207" s="43">
        <v>1</v>
      </c>
      <c r="J207" s="846"/>
      <c r="K207" s="115" t="str">
        <f>CONCATENATE(WORLDCUP!AA127,"-",WORLDCUP!AF127)</f>
        <v>W85-W87</v>
      </c>
      <c r="L207" s="115" t="str">
        <f>IF(OR(WORLDCUP!AC127="",WORLDCUP!AD127=""),"PD",IF(WORLDCUP!AC127&gt;WORLDCUP!AD127,1,IF(WORLDCUP!AC127&lt;WORLDCUP!AD127,2,0)))</f>
        <v>PD</v>
      </c>
      <c r="M207" s="116" t="str">
        <f t="shared" si="538"/>
        <v>-</v>
      </c>
      <c r="N207" s="25">
        <f>WORLDCUP!AC127</f>
        <v>0</v>
      </c>
      <c r="O207" s="25">
        <f>WORLDCUP!AD127</f>
        <v>0</v>
      </c>
      <c r="P207" s="25">
        <f t="shared" si="539"/>
        <v>0</v>
      </c>
      <c r="Q207" s="25">
        <f t="shared" si="540"/>
        <v>0</v>
      </c>
      <c r="R207" s="110"/>
      <c r="S207" s="80" t="s">
        <v>2027</v>
      </c>
      <c r="T207" s="85">
        <f t="shared" ca="1" si="564"/>
        <v>0</v>
      </c>
      <c r="U207" s="110"/>
      <c r="V207" s="74" t="s">
        <v>2027</v>
      </c>
      <c r="W207" s="85">
        <f t="shared" ca="1" si="541"/>
        <v>0</v>
      </c>
      <c r="X207" s="110"/>
      <c r="Y207" s="80" t="s">
        <v>2027</v>
      </c>
      <c r="Z207" s="85">
        <f t="shared" ca="1" si="541"/>
        <v>0</v>
      </c>
      <c r="AA207" s="110"/>
      <c r="AB207" s="80" t="s">
        <v>2100</v>
      </c>
      <c r="AC207" s="85">
        <f ca="1">IFERROR(IF(COUNTIF($K$200:$K$207,LEFT(AB207,FIND("·",AB207)-1))&gt;0,IF(INDEX($L$200:$L$207,MATCH(LEFT(AB207,FIND("·",AB207)-1),$K$200:$K$207,0))=IFERROR(VALUE(MID(AB207,FIND("·",AB207)+1,1)),0),($D$20+(INDEX($M$200:$M$207,MATCH(LEFT(AB207,FIND("·",AB207)-1),$K$200:$K$207,0))=MID(AB207,FIND("|",AB207)+1,10))*$D$22+MAX(0,IF($D$50=1,$D$21*(1-(ABS(INDEX($P$200:$P$207,MATCH(LEFT(AB207,FIND("·",AB207)-1),$K$200:$K$207,0))-(VALUE(MID(AB207,FIND("|",AB207)+1,FIND("-",AB207,FIND("|",AB207))-FIND("|",AB207)-1))-VALUE(MID(AB207,FIND("-",AB207,FIND("|",AB207))+1,10)))))*$D$50),$D$21*(1-(IF(INDEX($L$200:$L$207,MATCH(LEFT(AB207,FIND("·",AB207)-1),$K$200:$K$207,0))=0,ABS(INDEX($N$200:$N$207,MATCH(LEFT(AB207,FIND("·",AB207)-1),$K$200:$K$207,0))-VALUE(MID(AB207,FIND("|",AB207)+1,FIND("-",AB207,FIND("|",AB207))-FIND("|",AB207)-1))),ABS(INDEX($P$200:$P$207,MATCH(LEFT(AB207,FIND("·",AB207)-1),$K$200:$K$207,0))-(VALUE(MID(AB207,FIND("|",AB207)+1,FIND("-",AB207,FIND("|",AB207))-FIND("|",AB207)-1))-VALUE(MID(AB207,FIND("-",AB207,FIND("|",AB207))+1,10)))))*$D$50)))))*INDEX($I$200:$I$207,MATCH(LEFT(AB207,FIND("·",AB207)-1),$K$200:$K$207,0)),0),0),0)+IFERROR(IF(COUNTIF($C$200:$C$207,LEFT(AB207,FIND("·",AB207)-1))&gt;0,IF(INDEX($D$200:$D$207,MATCH(LEFT(AB207,FIND("·",AB207)-1),$C$200:$C$207,0))=IFERROR(VALUE(MID(AB207,FIND("·",AB207)+1,1)),0),($D$20+(INDEX($E$200:$E$207,MATCH(LEFT(AB207,FIND("·",AB207)-1),$C$200:$C$207,0))=MID(AB207,FIND("|",AB207)+1,10))*$D$22+MAX(0,IF($D$50=1,$D$21*(1-(ABS(INDEX($Q$200:$Q$207,MATCH(LEFT(AB207,FIND("·",AB207)-1),$C$200:$C$207,0))-(VALUE(MID(AB207,FIND("|",AB207)+1,FIND("-",AB207,FIND("|",AB207))-FIND("|",AB207)-1))-VALUE(MID(AB207,FIND("-",AB207,FIND("|",AB207))+1,10)))))*$D$50),$D$21*(1-(IF(INDEX($D$200:$D$207,MATCH(LEFT(AB207,FIND("·",AB207)-1),$C$200:$C$207,0))=0,ABS(INDEX($A$200:$A$207,MATCH(LEFT(AB207,FIND("·",AB207)-1),$C$200:$C$207,0))-VALUE(MID(AB207,FIND("|",AB207)+1,FIND("-",AB207,FIND("|",AB207))-FIND("|",AB207)-1))),ABS(INDEX($Q$200:$Q$207,MATCH(LEFT(AB207,FIND("·",AB207)-1),$C$200:$C$207,0))-(VALUE(MID(AB207,FIND("|",AB207)+1,FIND("-",AB207,FIND("|",AB207))-FIND("|",AB207)-1))-VALUE(MID(AB207,FIND("-",AB207,FIND("|",AB207))+1,10)))))*$D$50)))))*INDEX($I$200:$I$207,MATCH(LEFT(AB207,FIND("·",AB207)-1),$C$200:$C$207,0)),0),0),0)</f>
        <v>0</v>
      </c>
      <c r="AD207" s="110"/>
      <c r="AE207" s="80" t="s">
        <v>2002</v>
      </c>
      <c r="AF207" s="85">
        <f ca="1">IFERROR(IF(COUNTIF($K$200:$K$207,LEFT(AE207,FIND("·",AE207)-1))&gt;0,IF(INDEX($L$200:$L$207,MATCH(LEFT(AE207,FIND("·",AE207)-1),$K$200:$K$207,0))=IFERROR(VALUE(MID(AE207,FIND("·",AE207)+1,1)),0),($D$20+(INDEX($M$200:$M$207,MATCH(LEFT(AE207,FIND("·",AE207)-1),$K$200:$K$207,0))=MID(AE207,FIND("|",AE207)+1,10))*$D$22+MAX(0,IF($D$50=1,$D$21*(1-(ABS(INDEX($P$200:$P$207,MATCH(LEFT(AE207,FIND("·",AE207)-1),$K$200:$K$207,0))-(VALUE(MID(AE207,FIND("|",AE207)+1,FIND("-",AE207,FIND("|",AE207))-FIND("|",AE207)-1))-VALUE(MID(AE207,FIND("-",AE207,FIND("|",AE207))+1,10)))))*$D$50),$D$21*(1-(IF(INDEX($L$200:$L$207,MATCH(LEFT(AE207,FIND("·",AE207)-1),$K$200:$K$207,0))=0,ABS(INDEX($N$200:$N$207,MATCH(LEFT(AE207,FIND("·",AE207)-1),$K$200:$K$207,0))-VALUE(MID(AE207,FIND("|",AE207)+1,FIND("-",AE207,FIND("|",AE207))-FIND("|",AE207)-1))),ABS(INDEX($P$200:$P$207,MATCH(LEFT(AE207,FIND("·",AE207)-1),$K$200:$K$207,0))-(VALUE(MID(AE207,FIND("|",AE207)+1,FIND("-",AE207,FIND("|",AE207))-FIND("|",AE207)-1))-VALUE(MID(AE207,FIND("-",AE207,FIND("|",AE207))+1,10)))))*$D$50)))))*INDEX($I$200:$I$207,MATCH(LEFT(AE207,FIND("·",AE207)-1),$K$200:$K$207,0)),0),0),0)+IFERROR(IF(COUNTIF($C$200:$C$207,LEFT(AE207,FIND("·",AE207)-1))&gt;0,IF(INDEX($D$200:$D$207,MATCH(LEFT(AE207,FIND("·",AE207)-1),$C$200:$C$207,0))=IFERROR(VALUE(MID(AE207,FIND("·",AE207)+1,1)),0),($D$20+(INDEX($E$200:$E$207,MATCH(LEFT(AE207,FIND("·",AE207)-1),$C$200:$C$207,0))=MID(AE207,FIND("|",AE207)+1,10))*$D$22+MAX(0,IF($D$50=1,$D$21*(1-(ABS(INDEX($Q$200:$Q$207,MATCH(LEFT(AE207,FIND("·",AE207)-1),$C$200:$C$207,0))-(VALUE(MID(AE207,FIND("|",AE207)+1,FIND("-",AE207,FIND("|",AE207))-FIND("|",AE207)-1))-VALUE(MID(AE207,FIND("-",AE207,FIND("|",AE207))+1,10)))))*$D$50),$D$21*(1-(IF(INDEX($D$200:$D$207,MATCH(LEFT(AE207,FIND("·",AE207)-1),$C$200:$C$207,0))=0,ABS(INDEX($A$200:$A$207,MATCH(LEFT(AE207,FIND("·",AE207)-1),$C$200:$C$207,0))-VALUE(MID(AE207,FIND("|",AE207)+1,FIND("-",AE207,FIND("|",AE207))-FIND("|",AE207)-1))),ABS(INDEX($Q$200:$Q$207,MATCH(LEFT(AE207,FIND("·",AE207)-1),$C$200:$C$207,0))-(VALUE(MID(AE207,FIND("|",AE207)+1,FIND("-",AE207,FIND("|",AE207))-FIND("|",AE207)-1))-VALUE(MID(AE207,FIND("-",AE207,FIND("|",AE207))+1,10)))))*$D$50)))))*INDEX($I$200:$I$207,MATCH(LEFT(AE207,FIND("·",AE207)-1),$C$200:$C$207,0)),0),0),0)</f>
        <v>0</v>
      </c>
      <c r="AG207" s="110"/>
      <c r="AH207" s="80" t="s">
        <v>2002</v>
      </c>
      <c r="AI207" s="85">
        <f t="shared" ca="1" si="541"/>
        <v>0</v>
      </c>
      <c r="AJ207" s="110"/>
      <c r="AK207" s="80" t="s">
        <v>2002</v>
      </c>
      <c r="AL207" s="85">
        <f t="shared" ca="1" si="541"/>
        <v>0</v>
      </c>
      <c r="AM207" s="110"/>
      <c r="AN207" s="80"/>
      <c r="AO207" s="85">
        <f t="shared" ca="1" si="541"/>
        <v>0</v>
      </c>
      <c r="AP207" s="110"/>
      <c r="AQ207" s="80"/>
      <c r="AR207" s="85">
        <f t="shared" ca="1" si="541"/>
        <v>0</v>
      </c>
      <c r="AS207" s="110"/>
      <c r="AT207" s="80"/>
      <c r="AU207" s="85">
        <f t="shared" ca="1" si="541"/>
        <v>0</v>
      </c>
      <c r="AV207" s="110"/>
      <c r="AW207" s="80"/>
      <c r="AX207" s="85">
        <f t="shared" ca="1" si="541"/>
        <v>0</v>
      </c>
      <c r="AY207" s="110"/>
      <c r="AZ207" s="80"/>
      <c r="BA207" s="85">
        <f t="shared" ca="1" si="541"/>
        <v>0</v>
      </c>
      <c r="BB207" s="110"/>
      <c r="BC207" s="80"/>
      <c r="BD207" s="85">
        <f t="shared" ca="1" si="541"/>
        <v>0</v>
      </c>
      <c r="BE207" s="110"/>
      <c r="BF207" s="80"/>
      <c r="BG207" s="85">
        <f t="shared" ca="1" si="541"/>
        <v>0</v>
      </c>
      <c r="BH207" s="110"/>
      <c r="BI207" s="80"/>
      <c r="BJ207" s="85">
        <f t="shared" ca="1" si="541"/>
        <v>0</v>
      </c>
      <c r="BK207" s="110"/>
      <c r="BL207" s="80"/>
      <c r="BM207" s="85">
        <f t="shared" ca="1" si="541"/>
        <v>0</v>
      </c>
      <c r="BN207" s="110"/>
      <c r="BO207" s="80"/>
      <c r="BP207" s="85">
        <f t="shared" ca="1" si="541"/>
        <v>0</v>
      </c>
      <c r="BQ207" s="110"/>
      <c r="BR207" s="80"/>
      <c r="BS207" s="85">
        <f t="shared" ca="1" si="541"/>
        <v>0</v>
      </c>
      <c r="BT207" s="110"/>
      <c r="BU207" s="80"/>
      <c r="BV207" s="85">
        <f t="shared" ca="1" si="541"/>
        <v>0</v>
      </c>
      <c r="BW207" s="110"/>
      <c r="BX207" s="80"/>
      <c r="BY207" s="85">
        <f t="shared" ca="1" si="541"/>
        <v>0</v>
      </c>
      <c r="BZ207" s="110"/>
      <c r="CA207" s="80"/>
      <c r="CB207" s="85">
        <f t="shared" ca="1" si="541"/>
        <v>0</v>
      </c>
      <c r="CC207" s="110"/>
      <c r="CD207" s="80"/>
      <c r="CE207" s="85">
        <f t="shared" ca="1" si="541"/>
        <v>0</v>
      </c>
      <c r="CF207" s="110"/>
      <c r="CG207" s="80"/>
      <c r="CH207" s="85">
        <f t="shared" ca="1" si="541"/>
        <v>0</v>
      </c>
      <c r="CI207" s="110"/>
      <c r="CJ207" s="80"/>
      <c r="CK207" s="85">
        <f t="shared" ca="1" si="561"/>
        <v>0</v>
      </c>
      <c r="CL207" s="110"/>
      <c r="CM207" s="80"/>
      <c r="CN207" s="85">
        <f t="shared" ca="1" si="561"/>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0</v>
      </c>
      <c r="N208" s="25"/>
      <c r="O208" s="25"/>
      <c r="P208" s="25"/>
      <c r="Q208" s="25"/>
      <c r="R208" s="49"/>
      <c r="S208" s="84"/>
      <c r="T208" s="71">
        <f ca="1">SUM(T200:T207)</f>
        <v>0</v>
      </c>
      <c r="U208" s="49"/>
      <c r="V208" s="84"/>
      <c r="W208" s="71">
        <f t="shared" ref="W208" ca="1" si="565">SUM(W200:W207)</f>
        <v>0</v>
      </c>
      <c r="X208" s="49"/>
      <c r="Y208" s="84"/>
      <c r="Z208" s="71">
        <f t="shared" ref="Z208" ca="1" si="566">SUM(Z200:Z207)</f>
        <v>0</v>
      </c>
      <c r="AA208" s="49"/>
      <c r="AB208" s="84"/>
      <c r="AC208" s="71">
        <f t="shared" ref="AC208" ca="1" si="567">SUM(AC200:AC207)</f>
        <v>0</v>
      </c>
      <c r="AD208" s="49"/>
      <c r="AE208" s="84"/>
      <c r="AF208" s="71">
        <f t="shared" ref="AF208" ca="1" si="568">SUM(AF200:AF207)</f>
        <v>0</v>
      </c>
      <c r="AG208" s="49"/>
      <c r="AH208" s="84"/>
      <c r="AI208" s="71">
        <f t="shared" ref="AI208" ca="1" si="569">SUM(AI200:AI207)</f>
        <v>0</v>
      </c>
      <c r="AJ208" s="49"/>
      <c r="AK208" s="84"/>
      <c r="AL208" s="71">
        <f t="shared" ref="AL208" ca="1" si="570">SUM(AL200:AL207)</f>
        <v>0</v>
      </c>
      <c r="AM208" s="49"/>
      <c r="AN208" s="84"/>
      <c r="AO208" s="71">
        <f t="shared" ref="AO208" ca="1" si="571">SUM(AO200:AO207)</f>
        <v>0</v>
      </c>
      <c r="AP208" s="49"/>
      <c r="AQ208" s="84"/>
      <c r="AR208" s="71">
        <f t="shared" ref="AR208" ca="1" si="572">SUM(AR200:AR207)</f>
        <v>0</v>
      </c>
      <c r="AS208" s="49"/>
      <c r="AT208" s="84"/>
      <c r="AU208" s="71">
        <f t="shared" ref="AU208" ca="1" si="573">SUM(AU200:AU207)</f>
        <v>0</v>
      </c>
      <c r="AV208" s="49"/>
      <c r="AW208" s="84"/>
      <c r="AX208" s="71">
        <f t="shared" ref="AX208" ca="1" si="574">SUM(AX200:AX207)</f>
        <v>0</v>
      </c>
      <c r="AY208" s="49"/>
      <c r="AZ208" s="84"/>
      <c r="BA208" s="71">
        <f t="shared" ref="BA208" ca="1" si="575">SUM(BA200:BA207)</f>
        <v>0</v>
      </c>
      <c r="BB208" s="49"/>
      <c r="BC208" s="84"/>
      <c r="BD208" s="71">
        <f t="shared" ref="BD208" ca="1" si="576">SUM(BD200:BD207)</f>
        <v>0</v>
      </c>
      <c r="BE208" s="49"/>
      <c r="BF208" s="84"/>
      <c r="BG208" s="71">
        <f t="shared" ref="BG208" ca="1" si="577">SUM(BG200:BG207)</f>
        <v>0</v>
      </c>
      <c r="BH208" s="49"/>
      <c r="BI208" s="84"/>
      <c r="BJ208" s="71">
        <f t="shared" ref="BJ208" ca="1" si="578">SUM(BJ200:BJ207)</f>
        <v>0</v>
      </c>
      <c r="BK208" s="49"/>
      <c r="BL208" s="84"/>
      <c r="BM208" s="71">
        <f t="shared" ref="BM208" ca="1" si="579">SUM(BM200:BM207)</f>
        <v>0</v>
      </c>
      <c r="BN208" s="49"/>
      <c r="BO208" s="84"/>
      <c r="BP208" s="71">
        <f t="shared" ref="BP208" ca="1" si="580">SUM(BP200:BP207)</f>
        <v>0</v>
      </c>
      <c r="BQ208" s="49"/>
      <c r="BR208" s="84"/>
      <c r="BS208" s="71">
        <f t="shared" ref="BS208" ca="1" si="581">SUM(BS200:BS207)</f>
        <v>0</v>
      </c>
      <c r="BT208" s="49"/>
      <c r="BU208" s="84"/>
      <c r="BV208" s="71">
        <f t="shared" ref="BV208" ca="1" si="582">SUM(BV200:BV207)</f>
        <v>0</v>
      </c>
      <c r="BW208" s="49"/>
      <c r="BX208" s="84"/>
      <c r="BY208" s="71">
        <f t="shared" ref="BY208" ca="1" si="583">SUM(BY200:BY207)</f>
        <v>0</v>
      </c>
      <c r="BZ208" s="49"/>
      <c r="CA208" s="84"/>
      <c r="CB208" s="71">
        <f t="shared" ref="CB208" ca="1" si="584">SUM(CB200:CB207)</f>
        <v>0</v>
      </c>
      <c r="CC208" s="49"/>
      <c r="CD208" s="84"/>
      <c r="CE208" s="71">
        <f t="shared" ref="CE208" ca="1" si="585">SUM(CE200:CE207)</f>
        <v>0</v>
      </c>
      <c r="CF208" s="49"/>
      <c r="CG208" s="84"/>
      <c r="CH208" s="71">
        <f t="shared" ref="CH208" ca="1" si="586">SUM(CH200:CH207)</f>
        <v>0</v>
      </c>
      <c r="CI208" s="49"/>
      <c r="CJ208" s="84"/>
      <c r="CK208" s="71">
        <f t="shared" ref="CK208" ca="1" si="587">SUM(CK200:CK207)</f>
        <v>0</v>
      </c>
      <c r="CL208" s="49"/>
      <c r="CM208" s="84"/>
      <c r="CN208" s="71">
        <f t="shared" ref="CN208" ca="1" si="588">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6</v>
      </c>
      <c r="G210" s="407">
        <f ca="1">VLOOKUP(H210,Equipos!$Q$1:$R$25,2,0)</f>
        <v>21</v>
      </c>
      <c r="H210" s="65" t="str">
        <f>Idiomas!$D$261</f>
        <v>Octavos de final</v>
      </c>
      <c r="I210" s="50"/>
      <c r="J210" s="846" t="s">
        <v>34</v>
      </c>
      <c r="K210" s="53" t="str">
        <f>Idiomas!$D$200&amp;"-"&amp;ROWS($L$210:L210)</f>
        <v>Cuartofinalista-1</v>
      </c>
      <c r="L210" s="53"/>
      <c r="M210" s="55" t="str">
        <f>WORLDCUP!AA131</f>
        <v>W89</v>
      </c>
      <c r="N210" s="25"/>
      <c r="O210" s="25"/>
      <c r="P210" s="25"/>
      <c r="Q210" s="25"/>
      <c r="R210" s="110"/>
      <c r="S210" s="76" t="s">
        <v>74</v>
      </c>
      <c r="T210" s="77">
        <f t="shared" ref="T210:T217" si="589">COUNTIF($M$210:$M$217,S210)*$D$23</f>
        <v>0</v>
      </c>
      <c r="U210" s="110"/>
      <c r="V210" s="76" t="s">
        <v>74</v>
      </c>
      <c r="W210" s="77">
        <f t="shared" ref="W210:W217" si="590">COUNTIF($M$210:$M$217,V210)*$D$23</f>
        <v>0</v>
      </c>
      <c r="X210" s="110"/>
      <c r="Y210" s="76" t="s">
        <v>77</v>
      </c>
      <c r="Z210" s="77">
        <f t="shared" ref="Z210:Z217" si="591">COUNTIF($M$210:$M$217,Y210)*$D$23</f>
        <v>0</v>
      </c>
      <c r="AA210" s="110"/>
      <c r="AB210" s="76" t="s">
        <v>74</v>
      </c>
      <c r="AC210" s="77">
        <f>COUNTIF($M$210:$M$217,AB210)*$D$23</f>
        <v>0</v>
      </c>
      <c r="AD210" s="110"/>
      <c r="AE210" s="76" t="s">
        <v>74</v>
      </c>
      <c r="AF210" s="77">
        <f>COUNTIF($M$210:$M$217,AE210)*$D$23</f>
        <v>0</v>
      </c>
      <c r="AG210" s="110"/>
      <c r="AH210" s="76" t="s">
        <v>74</v>
      </c>
      <c r="AI210" s="77">
        <f t="shared" ref="AI210:AI217" si="592">COUNTIF($M$210:$M$217,AH210)*$D$23</f>
        <v>0</v>
      </c>
      <c r="AJ210" s="110"/>
      <c r="AK210" s="76" t="s">
        <v>74</v>
      </c>
      <c r="AL210" s="77">
        <f t="shared" ref="AL210:AL217" si="593">COUNTIF($M$210:$M$217,AK210)*$D$23</f>
        <v>0</v>
      </c>
      <c r="AM210" s="110"/>
      <c r="AN210" s="76"/>
      <c r="AO210" s="77">
        <f t="shared" ref="AO210:AO217" si="594">COUNTIF($M$210:$M$217,AN210)*$D$23</f>
        <v>0</v>
      </c>
      <c r="AP210" s="110"/>
      <c r="AQ210" s="76"/>
      <c r="AR210" s="77">
        <f t="shared" ref="AR210:AR217" si="595">COUNTIF($M$210:$M$217,AQ210)*$D$23</f>
        <v>0</v>
      </c>
      <c r="AS210" s="110"/>
      <c r="AT210" s="76"/>
      <c r="AU210" s="77">
        <f t="shared" ref="AU210:AU217" si="596">COUNTIF($M$210:$M$217,AT210)*$D$23</f>
        <v>0</v>
      </c>
      <c r="AV210" s="110"/>
      <c r="AW210" s="76"/>
      <c r="AX210" s="77">
        <f t="shared" ref="AX210:AX217" si="597">COUNTIF($M$210:$M$217,AW210)*$D$23</f>
        <v>0</v>
      </c>
      <c r="AY210" s="110"/>
      <c r="AZ210" s="76"/>
      <c r="BA210" s="77">
        <f t="shared" ref="BA210:BA217" si="598">COUNTIF($M$210:$M$217,AZ210)*$D$23</f>
        <v>0</v>
      </c>
      <c r="BB210" s="110"/>
      <c r="BC210" s="76"/>
      <c r="BD210" s="77">
        <f t="shared" ref="BD210:BD217" si="599">COUNTIF($M$210:$M$217,BC210)*$D$23</f>
        <v>0</v>
      </c>
      <c r="BE210" s="110"/>
      <c r="BF210" s="76"/>
      <c r="BG210" s="77">
        <f t="shared" ref="BG210:BG217" si="600">COUNTIF($M$210:$M$217,BF210)*$D$23</f>
        <v>0</v>
      </c>
      <c r="BH210" s="110"/>
      <c r="BI210" s="76"/>
      <c r="BJ210" s="77">
        <f t="shared" ref="BJ210:BJ217" si="601">COUNTIF($M$210:$M$217,BI210)*$D$23</f>
        <v>0</v>
      </c>
      <c r="BK210" s="110"/>
      <c r="BL210" s="76"/>
      <c r="BM210" s="77">
        <f t="shared" ref="BM210:BM217" si="602">COUNTIF($M$210:$M$217,BL210)*$D$23</f>
        <v>0</v>
      </c>
      <c r="BN210" s="110"/>
      <c r="BO210" s="76"/>
      <c r="BP210" s="77">
        <f t="shared" ref="BP210:BP217" si="603">COUNTIF($M$210:$M$217,BO210)*$D$23</f>
        <v>0</v>
      </c>
      <c r="BQ210" s="110"/>
      <c r="BR210" s="76"/>
      <c r="BS210" s="77">
        <f t="shared" ref="BS210:BS217" si="604">COUNTIF($M$210:$M$217,BR210)*$D$23</f>
        <v>0</v>
      </c>
      <c r="BT210" s="110"/>
      <c r="BU210" s="76"/>
      <c r="BV210" s="77">
        <f t="shared" ref="BV210:BV217" si="605">COUNTIF($M$210:$M$217,BU210)*$D$23</f>
        <v>0</v>
      </c>
      <c r="BW210" s="110"/>
      <c r="BX210" s="76"/>
      <c r="BY210" s="77">
        <f t="shared" ref="BY210:BY217" si="606">COUNTIF($M$210:$M$217,BX210)*$D$23</f>
        <v>0</v>
      </c>
      <c r="BZ210" s="110"/>
      <c r="CA210" s="76"/>
      <c r="CB210" s="77">
        <f t="shared" ref="CB210:CB217" si="607">COUNTIF($M$210:$M$217,CA210)*$D$23</f>
        <v>0</v>
      </c>
      <c r="CC210" s="110"/>
      <c r="CD210" s="76"/>
      <c r="CE210" s="77">
        <f t="shared" ref="CE210:CE217" si="608">COUNTIF($M$210:$M$217,CD210)*$D$23</f>
        <v>0</v>
      </c>
      <c r="CF210" s="110"/>
      <c r="CG210" s="76"/>
      <c r="CH210" s="77">
        <f t="shared" ref="CH210:CH217" si="609">COUNTIF($M$210:$M$217,CG210)*$D$23</f>
        <v>0</v>
      </c>
      <c r="CI210" s="110"/>
      <c r="CJ210" s="76"/>
      <c r="CK210" s="77">
        <f t="shared" ref="CK210:CK217" si="610">COUNTIF($M$210:$M$217,CJ210)*$D$23</f>
        <v>0</v>
      </c>
      <c r="CL210" s="110"/>
      <c r="CM210" s="76"/>
      <c r="CN210" s="77">
        <f t="shared" ref="CN210:CN217" si="611">COUNTIF($M$210:$M$217,CM210)*$D$23</f>
        <v>0</v>
      </c>
      <c r="CO210" s="110"/>
      <c r="CP210" s="110"/>
    </row>
    <row r="211" spans="1:94">
      <c r="A211" s="25"/>
      <c r="B211" s="25"/>
      <c r="C211" s="25"/>
      <c r="D211" s="25"/>
      <c r="E211" s="25"/>
      <c r="F211" s="407">
        <f t="shared" ref="F211:F217" si="612">+$D$23</f>
        <v>6</v>
      </c>
      <c r="G211" s="407">
        <f ca="1">VLOOKUP(H211,Equipos!$Q$1:$R$25,2,0)</f>
        <v>21</v>
      </c>
      <c r="H211" s="65" t="str">
        <f>Idiomas!$D$261</f>
        <v>Octavos de final</v>
      </c>
      <c r="I211" s="50"/>
      <c r="J211" s="846"/>
      <c r="K211" s="56" t="str">
        <f>Idiomas!$D$200&amp;"-"&amp;ROWS($L$210:L211)</f>
        <v>Cuartofinalista-2</v>
      </c>
      <c r="L211" s="53"/>
      <c r="M211" s="55" t="str">
        <f>WORLDCUP!AA132</f>
        <v>W93</v>
      </c>
      <c r="N211" s="25"/>
      <c r="O211" s="25"/>
      <c r="P211" s="25"/>
      <c r="Q211" s="25"/>
      <c r="R211" s="110"/>
      <c r="S211" s="74" t="s">
        <v>38</v>
      </c>
      <c r="T211" s="73">
        <f t="shared" si="589"/>
        <v>0</v>
      </c>
      <c r="U211" s="110"/>
      <c r="V211" s="74" t="s">
        <v>38</v>
      </c>
      <c r="W211" s="73">
        <f t="shared" si="590"/>
        <v>0</v>
      </c>
      <c r="X211" s="110"/>
      <c r="Y211" s="74" t="s">
        <v>38</v>
      </c>
      <c r="Z211" s="73">
        <f t="shared" si="591"/>
        <v>0</v>
      </c>
      <c r="AA211" s="110"/>
      <c r="AB211" s="74" t="s">
        <v>38</v>
      </c>
      <c r="AC211" s="73">
        <f>COUNTIF($M$210:$M$217,AB211)*$D$23</f>
        <v>0</v>
      </c>
      <c r="AD211" s="110"/>
      <c r="AE211" s="74" t="s">
        <v>38</v>
      </c>
      <c r="AF211" s="73">
        <f>COUNTIF($M$210:$M$217,AE211)*$D$23</f>
        <v>0</v>
      </c>
      <c r="AG211" s="110"/>
      <c r="AH211" s="74" t="s">
        <v>38</v>
      </c>
      <c r="AI211" s="73">
        <f t="shared" si="592"/>
        <v>0</v>
      </c>
      <c r="AJ211" s="110"/>
      <c r="AK211" s="74" t="s">
        <v>38</v>
      </c>
      <c r="AL211" s="73">
        <f t="shared" si="593"/>
        <v>0</v>
      </c>
      <c r="AM211" s="110"/>
      <c r="AN211" s="74"/>
      <c r="AO211" s="73">
        <f t="shared" si="594"/>
        <v>0</v>
      </c>
      <c r="AP211" s="110"/>
      <c r="AQ211" s="74"/>
      <c r="AR211" s="73">
        <f t="shared" si="595"/>
        <v>0</v>
      </c>
      <c r="AS211" s="110"/>
      <c r="AT211" s="74"/>
      <c r="AU211" s="73">
        <f t="shared" si="596"/>
        <v>0</v>
      </c>
      <c r="AV211" s="110"/>
      <c r="AW211" s="74"/>
      <c r="AX211" s="73">
        <f t="shared" si="597"/>
        <v>0</v>
      </c>
      <c r="AY211" s="110"/>
      <c r="AZ211" s="74"/>
      <c r="BA211" s="73">
        <f t="shared" si="598"/>
        <v>0</v>
      </c>
      <c r="BB211" s="110"/>
      <c r="BC211" s="74"/>
      <c r="BD211" s="73">
        <f t="shared" si="599"/>
        <v>0</v>
      </c>
      <c r="BE211" s="110"/>
      <c r="BF211" s="74"/>
      <c r="BG211" s="73">
        <f t="shared" si="600"/>
        <v>0</v>
      </c>
      <c r="BH211" s="110"/>
      <c r="BI211" s="74"/>
      <c r="BJ211" s="73">
        <f t="shared" si="601"/>
        <v>0</v>
      </c>
      <c r="BK211" s="110"/>
      <c r="BL211" s="74"/>
      <c r="BM211" s="73">
        <f t="shared" si="602"/>
        <v>0</v>
      </c>
      <c r="BN211" s="110"/>
      <c r="BO211" s="74"/>
      <c r="BP211" s="73">
        <f t="shared" si="603"/>
        <v>0</v>
      </c>
      <c r="BQ211" s="110"/>
      <c r="BR211" s="74"/>
      <c r="BS211" s="73">
        <f t="shared" si="604"/>
        <v>0</v>
      </c>
      <c r="BT211" s="110"/>
      <c r="BU211" s="74"/>
      <c r="BV211" s="73">
        <f t="shared" si="605"/>
        <v>0</v>
      </c>
      <c r="BW211" s="110"/>
      <c r="BX211" s="74"/>
      <c r="BY211" s="73">
        <f t="shared" si="606"/>
        <v>0</v>
      </c>
      <c r="BZ211" s="110"/>
      <c r="CA211" s="74"/>
      <c r="CB211" s="73">
        <f t="shared" si="607"/>
        <v>0</v>
      </c>
      <c r="CC211" s="110"/>
      <c r="CD211" s="74"/>
      <c r="CE211" s="73">
        <f t="shared" si="608"/>
        <v>0</v>
      </c>
      <c r="CF211" s="110"/>
      <c r="CG211" s="74"/>
      <c r="CH211" s="73">
        <f t="shared" si="609"/>
        <v>0</v>
      </c>
      <c r="CI211" s="110"/>
      <c r="CJ211" s="74"/>
      <c r="CK211" s="73">
        <f t="shared" si="610"/>
        <v>0</v>
      </c>
      <c r="CL211" s="110"/>
      <c r="CM211" s="74"/>
      <c r="CN211" s="73">
        <f t="shared" si="611"/>
        <v>0</v>
      </c>
      <c r="CO211" s="110"/>
      <c r="CP211" s="110"/>
    </row>
    <row r="212" spans="1:94">
      <c r="A212" s="25"/>
      <c r="B212" s="25"/>
      <c r="C212" s="25"/>
      <c r="D212" s="25"/>
      <c r="E212" s="25"/>
      <c r="F212" s="407">
        <f t="shared" si="612"/>
        <v>6</v>
      </c>
      <c r="G212" s="407">
        <f ca="1">VLOOKUP(H212,Equipos!$Q$1:$R$25,2,0)</f>
        <v>21</v>
      </c>
      <c r="H212" s="65" t="str">
        <f>Idiomas!$D$261</f>
        <v>Octavos de final</v>
      </c>
      <c r="I212" s="50"/>
      <c r="J212" s="846"/>
      <c r="K212" s="56" t="str">
        <f>Idiomas!$D$200&amp;"-"&amp;ROWS($L$210:L212)</f>
        <v>Cuartofinalista-3</v>
      </c>
      <c r="L212" s="53"/>
      <c r="M212" s="55" t="str">
        <f>WORLDCUP!AA133</f>
        <v>W91</v>
      </c>
      <c r="N212" s="25"/>
      <c r="O212" s="25"/>
      <c r="P212" s="25"/>
      <c r="Q212" s="25"/>
      <c r="R212" s="110"/>
      <c r="S212" s="74" t="s">
        <v>1258</v>
      </c>
      <c r="T212" s="73">
        <f t="shared" si="589"/>
        <v>0</v>
      </c>
      <c r="U212" s="110"/>
      <c r="V212" s="74" t="s">
        <v>1258</v>
      </c>
      <c r="W212" s="73">
        <f t="shared" si="590"/>
        <v>0</v>
      </c>
      <c r="X212" s="110"/>
      <c r="Y212" s="74" t="s">
        <v>135</v>
      </c>
      <c r="Z212" s="73">
        <f t="shared" si="591"/>
        <v>0</v>
      </c>
      <c r="AA212" s="110"/>
      <c r="AB212" s="74" t="s">
        <v>1258</v>
      </c>
      <c r="AC212" s="73">
        <f>COUNTIF($M$210:$M$217,AB212)*$D$23</f>
        <v>0</v>
      </c>
      <c r="AD212" s="110"/>
      <c r="AE212" s="74" t="s">
        <v>135</v>
      </c>
      <c r="AF212" s="73">
        <f>COUNTIF($M$210:$M$217,AE212)*$D$23</f>
        <v>0</v>
      </c>
      <c r="AG212" s="110"/>
      <c r="AH212" s="74" t="s">
        <v>1258</v>
      </c>
      <c r="AI212" s="73">
        <f t="shared" si="592"/>
        <v>0</v>
      </c>
      <c r="AJ212" s="110"/>
      <c r="AK212" s="74" t="s">
        <v>1258</v>
      </c>
      <c r="AL212" s="73">
        <f t="shared" si="593"/>
        <v>0</v>
      </c>
      <c r="AM212" s="110"/>
      <c r="AN212" s="74"/>
      <c r="AO212" s="73">
        <f t="shared" si="594"/>
        <v>0</v>
      </c>
      <c r="AP212" s="110"/>
      <c r="AQ212" s="74"/>
      <c r="AR212" s="73">
        <f t="shared" si="595"/>
        <v>0</v>
      </c>
      <c r="AS212" s="110"/>
      <c r="AT212" s="74"/>
      <c r="AU212" s="73">
        <f t="shared" si="596"/>
        <v>0</v>
      </c>
      <c r="AV212" s="110"/>
      <c r="AW212" s="74"/>
      <c r="AX212" s="73">
        <f t="shared" si="597"/>
        <v>0</v>
      </c>
      <c r="AY212" s="110"/>
      <c r="AZ212" s="74"/>
      <c r="BA212" s="73">
        <f t="shared" si="598"/>
        <v>0</v>
      </c>
      <c r="BB212" s="110"/>
      <c r="BC212" s="74"/>
      <c r="BD212" s="73">
        <f t="shared" si="599"/>
        <v>0</v>
      </c>
      <c r="BE212" s="110"/>
      <c r="BF212" s="74"/>
      <c r="BG212" s="73">
        <f t="shared" si="600"/>
        <v>0</v>
      </c>
      <c r="BH212" s="110"/>
      <c r="BI212" s="74"/>
      <c r="BJ212" s="73">
        <f t="shared" si="601"/>
        <v>0</v>
      </c>
      <c r="BK212" s="110"/>
      <c r="BL212" s="74"/>
      <c r="BM212" s="73">
        <f t="shared" si="602"/>
        <v>0</v>
      </c>
      <c r="BN212" s="110"/>
      <c r="BO212" s="74"/>
      <c r="BP212" s="73">
        <f t="shared" si="603"/>
        <v>0</v>
      </c>
      <c r="BQ212" s="110"/>
      <c r="BR212" s="74"/>
      <c r="BS212" s="73">
        <f t="shared" si="604"/>
        <v>0</v>
      </c>
      <c r="BT212" s="110"/>
      <c r="BU212" s="74"/>
      <c r="BV212" s="73">
        <f t="shared" si="605"/>
        <v>0</v>
      </c>
      <c r="BW212" s="110"/>
      <c r="BX212" s="74"/>
      <c r="BY212" s="73">
        <f t="shared" si="606"/>
        <v>0</v>
      </c>
      <c r="BZ212" s="110"/>
      <c r="CA212" s="74"/>
      <c r="CB212" s="73">
        <f t="shared" si="607"/>
        <v>0</v>
      </c>
      <c r="CC212" s="110"/>
      <c r="CD212" s="74"/>
      <c r="CE212" s="73">
        <f t="shared" si="608"/>
        <v>0</v>
      </c>
      <c r="CF212" s="110"/>
      <c r="CG212" s="74"/>
      <c r="CH212" s="73">
        <f t="shared" si="609"/>
        <v>0</v>
      </c>
      <c r="CI212" s="110"/>
      <c r="CJ212" s="74"/>
      <c r="CK212" s="73">
        <f t="shared" si="610"/>
        <v>0</v>
      </c>
      <c r="CL212" s="110"/>
      <c r="CM212" s="74"/>
      <c r="CN212" s="73">
        <f t="shared" si="611"/>
        <v>0</v>
      </c>
      <c r="CO212" s="110"/>
      <c r="CP212" s="110"/>
    </row>
    <row r="213" spans="1:94">
      <c r="A213" s="25"/>
      <c r="B213" s="25"/>
      <c r="C213" s="25"/>
      <c r="D213" s="25"/>
      <c r="E213" s="25"/>
      <c r="F213" s="407">
        <f t="shared" si="612"/>
        <v>6</v>
      </c>
      <c r="G213" s="407">
        <f ca="1">VLOOKUP(H213,Equipos!$Q$1:$R$25,2,0)</f>
        <v>21</v>
      </c>
      <c r="H213" s="65" t="str">
        <f>Idiomas!$D$261</f>
        <v>Octavos de final</v>
      </c>
      <c r="I213" s="50"/>
      <c r="J213" s="846"/>
      <c r="K213" s="56" t="str">
        <f>Idiomas!$D$200&amp;"-"&amp;ROWS($L$210:L213)</f>
        <v>Cuartofinalista-4</v>
      </c>
      <c r="L213" s="53"/>
      <c r="M213" s="55" t="str">
        <f>WORLDCUP!AA134</f>
        <v>W95</v>
      </c>
      <c r="N213" s="25"/>
      <c r="O213" s="25"/>
      <c r="P213" s="25"/>
      <c r="Q213" s="25"/>
      <c r="R213" s="110"/>
      <c r="S213" s="74" t="s">
        <v>1256</v>
      </c>
      <c r="T213" s="73">
        <f t="shared" si="589"/>
        <v>0</v>
      </c>
      <c r="U213" s="110"/>
      <c r="V213" s="74" t="s">
        <v>1256</v>
      </c>
      <c r="W213" s="73">
        <f t="shared" si="590"/>
        <v>0</v>
      </c>
      <c r="X213" s="110"/>
      <c r="Y213" s="74" t="s">
        <v>1256</v>
      </c>
      <c r="Z213" s="73">
        <f t="shared" si="591"/>
        <v>0</v>
      </c>
      <c r="AA213" s="110"/>
      <c r="AB213" s="74" t="s">
        <v>1256</v>
      </c>
      <c r="AC213" s="73">
        <f>COUNTIF($M$210:$M$217,AB213)*$D$23</f>
        <v>0</v>
      </c>
      <c r="AD213" s="110"/>
      <c r="AE213" s="74" t="s">
        <v>1256</v>
      </c>
      <c r="AF213" s="73">
        <f>COUNTIF($M$210:$M$217,AE213)*$D$23</f>
        <v>0</v>
      </c>
      <c r="AG213" s="110"/>
      <c r="AH213" s="74" t="s">
        <v>1256</v>
      </c>
      <c r="AI213" s="73">
        <f t="shared" si="592"/>
        <v>0</v>
      </c>
      <c r="AJ213" s="110"/>
      <c r="AK213" s="74" t="s">
        <v>1256</v>
      </c>
      <c r="AL213" s="73">
        <f t="shared" si="593"/>
        <v>0</v>
      </c>
      <c r="AM213" s="110"/>
      <c r="AN213" s="74"/>
      <c r="AO213" s="73">
        <f t="shared" si="594"/>
        <v>0</v>
      </c>
      <c r="AP213" s="110"/>
      <c r="AQ213" s="74"/>
      <c r="AR213" s="73">
        <f t="shared" si="595"/>
        <v>0</v>
      </c>
      <c r="AS213" s="110"/>
      <c r="AT213" s="74"/>
      <c r="AU213" s="73">
        <f t="shared" si="596"/>
        <v>0</v>
      </c>
      <c r="AV213" s="110"/>
      <c r="AW213" s="74"/>
      <c r="AX213" s="73">
        <f t="shared" si="597"/>
        <v>0</v>
      </c>
      <c r="AY213" s="110"/>
      <c r="AZ213" s="74"/>
      <c r="BA213" s="73">
        <f t="shared" si="598"/>
        <v>0</v>
      </c>
      <c r="BB213" s="110"/>
      <c r="BC213" s="74"/>
      <c r="BD213" s="73">
        <f t="shared" si="599"/>
        <v>0</v>
      </c>
      <c r="BE213" s="110"/>
      <c r="BF213" s="74"/>
      <c r="BG213" s="73">
        <f t="shared" si="600"/>
        <v>0</v>
      </c>
      <c r="BH213" s="110"/>
      <c r="BI213" s="74"/>
      <c r="BJ213" s="73">
        <f t="shared" si="601"/>
        <v>0</v>
      </c>
      <c r="BK213" s="110"/>
      <c r="BL213" s="74"/>
      <c r="BM213" s="73">
        <f t="shared" si="602"/>
        <v>0</v>
      </c>
      <c r="BN213" s="110"/>
      <c r="BO213" s="74"/>
      <c r="BP213" s="73">
        <f t="shared" si="603"/>
        <v>0</v>
      </c>
      <c r="BQ213" s="110"/>
      <c r="BR213" s="74"/>
      <c r="BS213" s="73">
        <f t="shared" si="604"/>
        <v>0</v>
      </c>
      <c r="BT213" s="110"/>
      <c r="BU213" s="74"/>
      <c r="BV213" s="73">
        <f t="shared" si="605"/>
        <v>0</v>
      </c>
      <c r="BW213" s="110"/>
      <c r="BX213" s="74"/>
      <c r="BY213" s="73">
        <f t="shared" si="606"/>
        <v>0</v>
      </c>
      <c r="BZ213" s="110"/>
      <c r="CA213" s="74"/>
      <c r="CB213" s="73">
        <f t="shared" si="607"/>
        <v>0</v>
      </c>
      <c r="CC213" s="110"/>
      <c r="CD213" s="74"/>
      <c r="CE213" s="73">
        <f t="shared" si="608"/>
        <v>0</v>
      </c>
      <c r="CF213" s="110"/>
      <c r="CG213" s="74"/>
      <c r="CH213" s="73">
        <f t="shared" si="609"/>
        <v>0</v>
      </c>
      <c r="CI213" s="110"/>
      <c r="CJ213" s="74"/>
      <c r="CK213" s="73">
        <f t="shared" si="610"/>
        <v>0</v>
      </c>
      <c r="CL213" s="110"/>
      <c r="CM213" s="74"/>
      <c r="CN213" s="73">
        <f t="shared" si="611"/>
        <v>0</v>
      </c>
      <c r="CO213" s="110"/>
      <c r="CP213" s="110"/>
    </row>
    <row r="214" spans="1:94">
      <c r="A214" s="25"/>
      <c r="B214" s="25"/>
      <c r="C214" s="89"/>
      <c r="D214" s="25"/>
      <c r="E214" s="25"/>
      <c r="F214" s="407">
        <f t="shared" si="612"/>
        <v>6</v>
      </c>
      <c r="G214" s="407">
        <f ca="1">VLOOKUP(H214,Equipos!$Q$1:$R$25,2,0)</f>
        <v>21</v>
      </c>
      <c r="H214" s="65" t="str">
        <f>Idiomas!$D$261</f>
        <v>Octavos de final</v>
      </c>
      <c r="I214" s="50"/>
      <c r="J214" s="846"/>
      <c r="K214" s="56" t="str">
        <f>Idiomas!$D$200&amp;"-"&amp;ROWS($L$210:L214)</f>
        <v>Cuartofinalista-5</v>
      </c>
      <c r="L214" s="53"/>
      <c r="M214" s="55" t="str">
        <f>WORLDCUP!AF131</f>
        <v>W90</v>
      </c>
      <c r="N214" s="25"/>
      <c r="O214" s="25"/>
      <c r="P214" s="25"/>
      <c r="Q214" s="25"/>
      <c r="R214" s="110"/>
      <c r="S214" s="74" t="s">
        <v>1321</v>
      </c>
      <c r="T214" s="73">
        <f t="shared" si="589"/>
        <v>0</v>
      </c>
      <c r="U214" s="110"/>
      <c r="V214" s="74" t="s">
        <v>111</v>
      </c>
      <c r="W214" s="73">
        <f t="shared" si="590"/>
        <v>0</v>
      </c>
      <c r="X214" s="110"/>
      <c r="Y214" s="74" t="s">
        <v>111</v>
      </c>
      <c r="Z214" s="73">
        <f t="shared" si="591"/>
        <v>0</v>
      </c>
      <c r="AA214" s="110"/>
      <c r="AB214" s="74" t="s">
        <v>111</v>
      </c>
      <c r="AC214" s="73">
        <f>COUNTIF($M$210:$M$217,AB214)*$D$23</f>
        <v>0</v>
      </c>
      <c r="AD214" s="110"/>
      <c r="AE214" s="74" t="s">
        <v>1321</v>
      </c>
      <c r="AF214" s="73">
        <f>COUNTIF($M$210:$M$217,AE214)*$D$23</f>
        <v>0</v>
      </c>
      <c r="AG214" s="110"/>
      <c r="AH214" s="74" t="s">
        <v>1321</v>
      </c>
      <c r="AI214" s="73">
        <f t="shared" si="592"/>
        <v>0</v>
      </c>
      <c r="AJ214" s="110"/>
      <c r="AK214" s="74" t="s">
        <v>111</v>
      </c>
      <c r="AL214" s="73">
        <f t="shared" si="593"/>
        <v>0</v>
      </c>
      <c r="AM214" s="110"/>
      <c r="AN214" s="74"/>
      <c r="AO214" s="73">
        <f t="shared" si="594"/>
        <v>0</v>
      </c>
      <c r="AP214" s="110"/>
      <c r="AQ214" s="74"/>
      <c r="AR214" s="73">
        <f t="shared" si="595"/>
        <v>0</v>
      </c>
      <c r="AS214" s="110"/>
      <c r="AT214" s="74"/>
      <c r="AU214" s="73">
        <f t="shared" si="596"/>
        <v>0</v>
      </c>
      <c r="AV214" s="110"/>
      <c r="AW214" s="74"/>
      <c r="AX214" s="73">
        <f t="shared" si="597"/>
        <v>0</v>
      </c>
      <c r="AY214" s="110"/>
      <c r="AZ214" s="74"/>
      <c r="BA214" s="73">
        <f t="shared" si="598"/>
        <v>0</v>
      </c>
      <c r="BB214" s="110"/>
      <c r="BC214" s="74"/>
      <c r="BD214" s="73">
        <f t="shared" si="599"/>
        <v>0</v>
      </c>
      <c r="BE214" s="110"/>
      <c r="BF214" s="74"/>
      <c r="BG214" s="73">
        <f t="shared" si="600"/>
        <v>0</v>
      </c>
      <c r="BH214" s="110"/>
      <c r="BI214" s="74"/>
      <c r="BJ214" s="73">
        <f t="shared" si="601"/>
        <v>0</v>
      </c>
      <c r="BK214" s="110"/>
      <c r="BL214" s="74"/>
      <c r="BM214" s="73">
        <f t="shared" si="602"/>
        <v>0</v>
      </c>
      <c r="BN214" s="110"/>
      <c r="BO214" s="74"/>
      <c r="BP214" s="73">
        <f t="shared" si="603"/>
        <v>0</v>
      </c>
      <c r="BQ214" s="110"/>
      <c r="BR214" s="74"/>
      <c r="BS214" s="73">
        <f t="shared" si="604"/>
        <v>0</v>
      </c>
      <c r="BT214" s="110"/>
      <c r="BU214" s="74"/>
      <c r="BV214" s="73">
        <f t="shared" si="605"/>
        <v>0</v>
      </c>
      <c r="BW214" s="110"/>
      <c r="BX214" s="74"/>
      <c r="BY214" s="73">
        <f t="shared" si="606"/>
        <v>0</v>
      </c>
      <c r="BZ214" s="110"/>
      <c r="CA214" s="74"/>
      <c r="CB214" s="73">
        <f t="shared" si="607"/>
        <v>0</v>
      </c>
      <c r="CC214" s="110"/>
      <c r="CD214" s="74"/>
      <c r="CE214" s="73">
        <f t="shared" si="608"/>
        <v>0</v>
      </c>
      <c r="CF214" s="110"/>
      <c r="CG214" s="74"/>
      <c r="CH214" s="73">
        <f t="shared" si="609"/>
        <v>0</v>
      </c>
      <c r="CI214" s="110"/>
      <c r="CJ214" s="74"/>
      <c r="CK214" s="73">
        <f t="shared" si="610"/>
        <v>0</v>
      </c>
      <c r="CL214" s="110"/>
      <c r="CM214" s="74"/>
      <c r="CN214" s="73">
        <f t="shared" si="611"/>
        <v>0</v>
      </c>
      <c r="CO214" s="110"/>
      <c r="CP214" s="110"/>
    </row>
    <row r="215" spans="1:94">
      <c r="A215" s="25"/>
      <c r="B215" s="25"/>
      <c r="C215" s="89"/>
      <c r="D215" s="25"/>
      <c r="E215" s="25"/>
      <c r="F215" s="407">
        <f t="shared" si="612"/>
        <v>6</v>
      </c>
      <c r="G215" s="407">
        <f ca="1">VLOOKUP(H215,Equipos!$Q$1:$R$25,2,0)</f>
        <v>21</v>
      </c>
      <c r="H215" s="65" t="str">
        <f>Idiomas!$D$261</f>
        <v>Octavos de final</v>
      </c>
      <c r="I215" s="50"/>
      <c r="J215" s="846"/>
      <c r="K215" s="56" t="str">
        <f>Idiomas!$D$200&amp;"-"&amp;ROWS($L$210:L215)</f>
        <v>Cuartofinalista-6</v>
      </c>
      <c r="L215" s="53"/>
      <c r="M215" s="55" t="str">
        <f>WORLDCUP!AF132</f>
        <v>W94</v>
      </c>
      <c r="N215" s="25"/>
      <c r="O215" s="25"/>
      <c r="P215" s="25"/>
      <c r="Q215" s="25"/>
      <c r="R215" s="110"/>
      <c r="S215" s="74" t="s">
        <v>110</v>
      </c>
      <c r="T215" s="73">
        <f t="shared" si="589"/>
        <v>0</v>
      </c>
      <c r="U215" s="110"/>
      <c r="V215" s="74" t="s">
        <v>497</v>
      </c>
      <c r="W215" s="73">
        <f t="shared" si="590"/>
        <v>0</v>
      </c>
      <c r="X215" s="110"/>
      <c r="Y215" s="74" t="s">
        <v>1634</v>
      </c>
      <c r="Z215" s="73">
        <f t="shared" si="591"/>
        <v>0</v>
      </c>
      <c r="AA215" s="110"/>
      <c r="AB215" s="74" t="s">
        <v>1634</v>
      </c>
      <c r="AC215" s="73">
        <f>COUNTIF($M$210:$M$217,AB215)*$D$23</f>
        <v>0</v>
      </c>
      <c r="AD215" s="110"/>
      <c r="AE215" s="74" t="s">
        <v>497</v>
      </c>
      <c r="AF215" s="73">
        <f>COUNTIF($M$210:$M$217,AE215)*$D$23</f>
        <v>0</v>
      </c>
      <c r="AG215" s="110"/>
      <c r="AH215" s="74" t="s">
        <v>497</v>
      </c>
      <c r="AI215" s="73">
        <f t="shared" si="592"/>
        <v>0</v>
      </c>
      <c r="AJ215" s="110"/>
      <c r="AK215" s="74" t="s">
        <v>497</v>
      </c>
      <c r="AL215" s="73">
        <f t="shared" si="593"/>
        <v>0</v>
      </c>
      <c r="AM215" s="110"/>
      <c r="AN215" s="74"/>
      <c r="AO215" s="73">
        <f t="shared" si="594"/>
        <v>0</v>
      </c>
      <c r="AP215" s="110"/>
      <c r="AQ215" s="74"/>
      <c r="AR215" s="73">
        <f t="shared" si="595"/>
        <v>0</v>
      </c>
      <c r="AS215" s="110"/>
      <c r="AT215" s="74"/>
      <c r="AU215" s="73">
        <f t="shared" si="596"/>
        <v>0</v>
      </c>
      <c r="AV215" s="110"/>
      <c r="AW215" s="74"/>
      <c r="AX215" s="73">
        <f t="shared" si="597"/>
        <v>0</v>
      </c>
      <c r="AY215" s="110"/>
      <c r="AZ215" s="74"/>
      <c r="BA215" s="73">
        <f t="shared" si="598"/>
        <v>0</v>
      </c>
      <c r="BB215" s="110"/>
      <c r="BC215" s="74"/>
      <c r="BD215" s="73">
        <f t="shared" si="599"/>
        <v>0</v>
      </c>
      <c r="BE215" s="110"/>
      <c r="BF215" s="74"/>
      <c r="BG215" s="73">
        <f t="shared" si="600"/>
        <v>0</v>
      </c>
      <c r="BH215" s="110"/>
      <c r="BI215" s="74"/>
      <c r="BJ215" s="73">
        <f t="shared" si="601"/>
        <v>0</v>
      </c>
      <c r="BK215" s="110"/>
      <c r="BL215" s="74"/>
      <c r="BM215" s="73">
        <f t="shared" si="602"/>
        <v>0</v>
      </c>
      <c r="BN215" s="110"/>
      <c r="BO215" s="74"/>
      <c r="BP215" s="73">
        <f t="shared" si="603"/>
        <v>0</v>
      </c>
      <c r="BQ215" s="110"/>
      <c r="BR215" s="74"/>
      <c r="BS215" s="73">
        <f t="shared" si="604"/>
        <v>0</v>
      </c>
      <c r="BT215" s="110"/>
      <c r="BU215" s="74"/>
      <c r="BV215" s="73">
        <f t="shared" si="605"/>
        <v>0</v>
      </c>
      <c r="BW215" s="110"/>
      <c r="BX215" s="74"/>
      <c r="BY215" s="73">
        <f t="shared" si="606"/>
        <v>0</v>
      </c>
      <c r="BZ215" s="110"/>
      <c r="CA215" s="74"/>
      <c r="CB215" s="73">
        <f t="shared" si="607"/>
        <v>0</v>
      </c>
      <c r="CC215" s="110"/>
      <c r="CD215" s="74"/>
      <c r="CE215" s="73">
        <f t="shared" si="608"/>
        <v>0</v>
      </c>
      <c r="CF215" s="110"/>
      <c r="CG215" s="74"/>
      <c r="CH215" s="73">
        <f t="shared" si="609"/>
        <v>0</v>
      </c>
      <c r="CI215" s="110"/>
      <c r="CJ215" s="74"/>
      <c r="CK215" s="73">
        <f t="shared" si="610"/>
        <v>0</v>
      </c>
      <c r="CL215" s="110"/>
      <c r="CM215" s="74"/>
      <c r="CN215" s="73">
        <f t="shared" si="611"/>
        <v>0</v>
      </c>
      <c r="CO215" s="110"/>
      <c r="CP215" s="110"/>
    </row>
    <row r="216" spans="1:94">
      <c r="A216" s="25"/>
      <c r="B216" s="25"/>
      <c r="C216" s="25"/>
      <c r="D216" s="25"/>
      <c r="E216" s="25"/>
      <c r="F216" s="407">
        <f t="shared" si="612"/>
        <v>6</v>
      </c>
      <c r="G216" s="407">
        <f ca="1">VLOOKUP(H216,Equipos!$Q$1:$R$25,2,0)</f>
        <v>21</v>
      </c>
      <c r="H216" s="65" t="str">
        <f>Idiomas!$D$261</f>
        <v>Octavos de final</v>
      </c>
      <c r="I216" s="50"/>
      <c r="J216" s="846"/>
      <c r="K216" s="56" t="str">
        <f>Idiomas!$D$200&amp;"-"&amp;ROWS($L$210:L216)</f>
        <v>Cuartofinalista-7</v>
      </c>
      <c r="L216" s="53"/>
      <c r="M216" s="55" t="str">
        <f>WORLDCUP!AF133</f>
        <v>W92</v>
      </c>
      <c r="N216" s="25"/>
      <c r="O216" s="25"/>
      <c r="P216" s="25"/>
      <c r="Q216" s="25"/>
      <c r="R216" s="110"/>
      <c r="S216" s="74" t="s">
        <v>76</v>
      </c>
      <c r="T216" s="73">
        <f t="shared" si="589"/>
        <v>0</v>
      </c>
      <c r="U216" s="110"/>
      <c r="V216" s="74" t="s">
        <v>76</v>
      </c>
      <c r="W216" s="73">
        <f t="shared" si="590"/>
        <v>0</v>
      </c>
      <c r="X216" s="110"/>
      <c r="Y216" s="74" t="s">
        <v>76</v>
      </c>
      <c r="Z216" s="73">
        <f t="shared" si="591"/>
        <v>0</v>
      </c>
      <c r="AA216" s="110"/>
      <c r="AB216" s="74" t="s">
        <v>76</v>
      </c>
      <c r="AC216" s="73">
        <f>COUNTIF($M$210:$M$217,AB216)*$D$23</f>
        <v>0</v>
      </c>
      <c r="AD216" s="110"/>
      <c r="AE216" s="74" t="s">
        <v>76</v>
      </c>
      <c r="AF216" s="73">
        <f>COUNTIF($M$210:$M$217,AE216)*$D$23</f>
        <v>0</v>
      </c>
      <c r="AG216" s="110"/>
      <c r="AH216" s="74" t="s">
        <v>76</v>
      </c>
      <c r="AI216" s="73">
        <f t="shared" si="592"/>
        <v>0</v>
      </c>
      <c r="AJ216" s="110"/>
      <c r="AK216" s="74" t="s">
        <v>76</v>
      </c>
      <c r="AL216" s="73">
        <f t="shared" si="593"/>
        <v>0</v>
      </c>
      <c r="AM216" s="110"/>
      <c r="AN216" s="74"/>
      <c r="AO216" s="73">
        <f t="shared" si="594"/>
        <v>0</v>
      </c>
      <c r="AP216" s="110"/>
      <c r="AQ216" s="74"/>
      <c r="AR216" s="73">
        <f t="shared" si="595"/>
        <v>0</v>
      </c>
      <c r="AS216" s="110"/>
      <c r="AT216" s="74"/>
      <c r="AU216" s="73">
        <f t="shared" si="596"/>
        <v>0</v>
      </c>
      <c r="AV216" s="110"/>
      <c r="AW216" s="74"/>
      <c r="AX216" s="73">
        <f t="shared" si="597"/>
        <v>0</v>
      </c>
      <c r="AY216" s="110"/>
      <c r="AZ216" s="74"/>
      <c r="BA216" s="73">
        <f t="shared" si="598"/>
        <v>0</v>
      </c>
      <c r="BB216" s="110"/>
      <c r="BC216" s="74"/>
      <c r="BD216" s="73">
        <f t="shared" si="599"/>
        <v>0</v>
      </c>
      <c r="BE216" s="110"/>
      <c r="BF216" s="74"/>
      <c r="BG216" s="73">
        <f t="shared" si="600"/>
        <v>0</v>
      </c>
      <c r="BH216" s="110"/>
      <c r="BI216" s="74"/>
      <c r="BJ216" s="73">
        <f t="shared" si="601"/>
        <v>0</v>
      </c>
      <c r="BK216" s="110"/>
      <c r="BL216" s="74"/>
      <c r="BM216" s="73">
        <f t="shared" si="602"/>
        <v>0</v>
      </c>
      <c r="BN216" s="110"/>
      <c r="BO216" s="74"/>
      <c r="BP216" s="73">
        <f t="shared" si="603"/>
        <v>0</v>
      </c>
      <c r="BQ216" s="110"/>
      <c r="BR216" s="74"/>
      <c r="BS216" s="73">
        <f t="shared" si="604"/>
        <v>0</v>
      </c>
      <c r="BT216" s="110"/>
      <c r="BU216" s="74"/>
      <c r="BV216" s="73">
        <f t="shared" si="605"/>
        <v>0</v>
      </c>
      <c r="BW216" s="110"/>
      <c r="BX216" s="74"/>
      <c r="BY216" s="73">
        <f t="shared" si="606"/>
        <v>0</v>
      </c>
      <c r="BZ216" s="110"/>
      <c r="CA216" s="74"/>
      <c r="CB216" s="73">
        <f t="shared" si="607"/>
        <v>0</v>
      </c>
      <c r="CC216" s="110"/>
      <c r="CD216" s="74"/>
      <c r="CE216" s="73">
        <f t="shared" si="608"/>
        <v>0</v>
      </c>
      <c r="CF216" s="110"/>
      <c r="CG216" s="74"/>
      <c r="CH216" s="73">
        <f t="shared" si="609"/>
        <v>0</v>
      </c>
      <c r="CI216" s="110"/>
      <c r="CJ216" s="74"/>
      <c r="CK216" s="73">
        <f t="shared" si="610"/>
        <v>0</v>
      </c>
      <c r="CL216" s="110"/>
      <c r="CM216" s="74"/>
      <c r="CN216" s="73">
        <f t="shared" si="611"/>
        <v>0</v>
      </c>
      <c r="CO216" s="110"/>
      <c r="CP216" s="110"/>
    </row>
    <row r="217" spans="1:94">
      <c r="A217" s="25"/>
      <c r="B217" s="25"/>
      <c r="C217" s="25"/>
      <c r="D217" s="25"/>
      <c r="E217" s="25"/>
      <c r="F217" s="407">
        <f t="shared" si="612"/>
        <v>6</v>
      </c>
      <c r="G217" s="407">
        <f ca="1">VLOOKUP(H217,Equipos!$Q$1:$R$25,2,0)</f>
        <v>21</v>
      </c>
      <c r="H217" s="65" t="str">
        <f>Idiomas!$D$261</f>
        <v>Octavos de final</v>
      </c>
      <c r="I217" s="50"/>
      <c r="J217" s="846"/>
      <c r="K217" s="115" t="str">
        <f>Idiomas!$D$200&amp;"-"&amp;ROWS($L$210:L217)</f>
        <v>Cuartofinalista-8</v>
      </c>
      <c r="L217" s="115"/>
      <c r="M217" s="116" t="str">
        <f>WORLDCUP!AF134</f>
        <v>W96</v>
      </c>
      <c r="N217" s="25"/>
      <c r="O217" s="25"/>
      <c r="P217" s="25"/>
      <c r="Q217" s="25"/>
      <c r="R217" s="110"/>
      <c r="S217" s="80" t="s">
        <v>75</v>
      </c>
      <c r="T217" s="81">
        <f t="shared" si="589"/>
        <v>0</v>
      </c>
      <c r="U217" s="110"/>
      <c r="V217" s="80" t="s">
        <v>75</v>
      </c>
      <c r="W217" s="81">
        <f t="shared" si="590"/>
        <v>0</v>
      </c>
      <c r="X217" s="110"/>
      <c r="Y217" s="80" t="s">
        <v>75</v>
      </c>
      <c r="Z217" s="81">
        <f t="shared" si="591"/>
        <v>0</v>
      </c>
      <c r="AA217" s="110"/>
      <c r="AB217" s="80" t="s">
        <v>1320</v>
      </c>
      <c r="AC217" s="81">
        <f>COUNTIF($M$210:$M$217,AB217)*$D$23</f>
        <v>0</v>
      </c>
      <c r="AD217" s="110"/>
      <c r="AE217" s="80" t="s">
        <v>1320</v>
      </c>
      <c r="AF217" s="81">
        <f>COUNTIF($M$210:$M$217,AE217)*$D$23</f>
        <v>0</v>
      </c>
      <c r="AG217" s="110"/>
      <c r="AH217" s="80" t="s">
        <v>1320</v>
      </c>
      <c r="AI217" s="81">
        <f t="shared" si="592"/>
        <v>0</v>
      </c>
      <c r="AJ217" s="110"/>
      <c r="AK217" s="80" t="s">
        <v>1320</v>
      </c>
      <c r="AL217" s="81">
        <f t="shared" si="593"/>
        <v>0</v>
      </c>
      <c r="AM217" s="110"/>
      <c r="AN217" s="80"/>
      <c r="AO217" s="81">
        <f t="shared" si="594"/>
        <v>0</v>
      </c>
      <c r="AP217" s="110"/>
      <c r="AQ217" s="80"/>
      <c r="AR217" s="81">
        <f t="shared" si="595"/>
        <v>0</v>
      </c>
      <c r="AS217" s="110"/>
      <c r="AT217" s="80"/>
      <c r="AU217" s="81">
        <f t="shared" si="596"/>
        <v>0</v>
      </c>
      <c r="AV217" s="110"/>
      <c r="AW217" s="80"/>
      <c r="AX217" s="81">
        <f t="shared" si="597"/>
        <v>0</v>
      </c>
      <c r="AY217" s="110"/>
      <c r="AZ217" s="80"/>
      <c r="BA217" s="81">
        <f t="shared" si="598"/>
        <v>0</v>
      </c>
      <c r="BB217" s="110"/>
      <c r="BC217" s="80"/>
      <c r="BD217" s="81">
        <f t="shared" si="599"/>
        <v>0</v>
      </c>
      <c r="BE217" s="110"/>
      <c r="BF217" s="80"/>
      <c r="BG217" s="81">
        <f t="shared" si="600"/>
        <v>0</v>
      </c>
      <c r="BH217" s="110"/>
      <c r="BI217" s="80"/>
      <c r="BJ217" s="81">
        <f t="shared" si="601"/>
        <v>0</v>
      </c>
      <c r="BK217" s="110"/>
      <c r="BL217" s="80"/>
      <c r="BM217" s="81">
        <f t="shared" si="602"/>
        <v>0</v>
      </c>
      <c r="BN217" s="110"/>
      <c r="BO217" s="80"/>
      <c r="BP217" s="81">
        <f t="shared" si="603"/>
        <v>0</v>
      </c>
      <c r="BQ217" s="110"/>
      <c r="BR217" s="80"/>
      <c r="BS217" s="81">
        <f t="shared" si="604"/>
        <v>0</v>
      </c>
      <c r="BT217" s="110"/>
      <c r="BU217" s="80"/>
      <c r="BV217" s="81">
        <f t="shared" si="605"/>
        <v>0</v>
      </c>
      <c r="BW217" s="110"/>
      <c r="BX217" s="80"/>
      <c r="BY217" s="81">
        <f t="shared" si="606"/>
        <v>0</v>
      </c>
      <c r="BZ217" s="110"/>
      <c r="CA217" s="80"/>
      <c r="CB217" s="81">
        <f t="shared" si="607"/>
        <v>0</v>
      </c>
      <c r="CC217" s="110"/>
      <c r="CD217" s="80"/>
      <c r="CE217" s="81">
        <f t="shared" si="608"/>
        <v>0</v>
      </c>
      <c r="CF217" s="110"/>
      <c r="CG217" s="80"/>
      <c r="CH217" s="81">
        <f t="shared" si="609"/>
        <v>0</v>
      </c>
      <c r="CI217" s="110"/>
      <c r="CJ217" s="80"/>
      <c r="CK217" s="81">
        <f t="shared" si="610"/>
        <v>0</v>
      </c>
      <c r="CL217" s="110"/>
      <c r="CM217" s="80"/>
      <c r="CN217" s="81">
        <f t="shared" si="611"/>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48</v>
      </c>
      <c r="N218" s="25"/>
      <c r="O218" s="25"/>
      <c r="P218" s="25"/>
      <c r="Q218" s="25"/>
      <c r="R218" s="49"/>
      <c r="S218" s="84"/>
      <c r="T218" s="71">
        <f>SUM(T210:T217)</f>
        <v>0</v>
      </c>
      <c r="U218" s="49"/>
      <c r="V218" s="84"/>
      <c r="W218" s="71">
        <f t="shared" ref="W218" si="613">SUM(W210:W217)</f>
        <v>0</v>
      </c>
      <c r="X218" s="49"/>
      <c r="Y218" s="84"/>
      <c r="Z218" s="71">
        <f t="shared" ref="Z218" si="614">SUM(Z210:Z217)</f>
        <v>0</v>
      </c>
      <c r="AA218" s="49"/>
      <c r="AB218" s="84"/>
      <c r="AC218" s="71">
        <f t="shared" ref="AC218" si="615">SUM(AC210:AC217)</f>
        <v>0</v>
      </c>
      <c r="AD218" s="49"/>
      <c r="AE218" s="84"/>
      <c r="AF218" s="71">
        <f t="shared" ref="AF218" si="616">SUM(AF210:AF217)</f>
        <v>0</v>
      </c>
      <c r="AG218" s="49"/>
      <c r="AH218" s="84"/>
      <c r="AI218" s="71">
        <f t="shared" ref="AI218" si="617">SUM(AI210:AI217)</f>
        <v>0</v>
      </c>
      <c r="AJ218" s="49"/>
      <c r="AK218" s="84"/>
      <c r="AL218" s="71">
        <f t="shared" ref="AL218" si="618">SUM(AL210:AL217)</f>
        <v>0</v>
      </c>
      <c r="AM218" s="49"/>
      <c r="AN218" s="84"/>
      <c r="AO218" s="71">
        <f t="shared" ref="AO218" si="619">SUM(AO210:AO217)</f>
        <v>0</v>
      </c>
      <c r="AP218" s="49"/>
      <c r="AQ218" s="84"/>
      <c r="AR218" s="71">
        <f t="shared" ref="AR218" si="620">SUM(AR210:AR217)</f>
        <v>0</v>
      </c>
      <c r="AS218" s="49"/>
      <c r="AT218" s="84"/>
      <c r="AU218" s="71">
        <f t="shared" ref="AU218" si="621">SUM(AU210:AU217)</f>
        <v>0</v>
      </c>
      <c r="AV218" s="49"/>
      <c r="AW218" s="84"/>
      <c r="AX218" s="71">
        <f t="shared" ref="AX218" si="622">SUM(AX210:AX217)</f>
        <v>0</v>
      </c>
      <c r="AY218" s="49"/>
      <c r="AZ218" s="84"/>
      <c r="BA218" s="71">
        <f t="shared" ref="BA218" si="623">SUM(BA210:BA217)</f>
        <v>0</v>
      </c>
      <c r="BB218" s="49"/>
      <c r="BC218" s="84"/>
      <c r="BD218" s="71">
        <f t="shared" ref="BD218" si="624">SUM(BD210:BD217)</f>
        <v>0</v>
      </c>
      <c r="BE218" s="49"/>
      <c r="BF218" s="84"/>
      <c r="BG218" s="71">
        <f t="shared" ref="BG218" si="625">SUM(BG210:BG217)</f>
        <v>0</v>
      </c>
      <c r="BH218" s="49"/>
      <c r="BI218" s="84"/>
      <c r="BJ218" s="71">
        <f t="shared" ref="BJ218" si="626">SUM(BJ210:BJ217)</f>
        <v>0</v>
      </c>
      <c r="BK218" s="49"/>
      <c r="BL218" s="84"/>
      <c r="BM218" s="71">
        <f t="shared" ref="BM218" si="627">SUM(BM210:BM217)</f>
        <v>0</v>
      </c>
      <c r="BN218" s="49"/>
      <c r="BO218" s="84"/>
      <c r="BP218" s="71">
        <f t="shared" ref="BP218" si="628">SUM(BP210:BP217)</f>
        <v>0</v>
      </c>
      <c r="BQ218" s="49"/>
      <c r="BR218" s="84"/>
      <c r="BS218" s="71">
        <f t="shared" ref="BS218" si="629">SUM(BS210:BS217)</f>
        <v>0</v>
      </c>
      <c r="BT218" s="49"/>
      <c r="BU218" s="84"/>
      <c r="BV218" s="71">
        <f t="shared" ref="BV218" si="630">SUM(BV210:BV217)</f>
        <v>0</v>
      </c>
      <c r="BW218" s="49"/>
      <c r="BX218" s="84"/>
      <c r="BY218" s="71">
        <f t="shared" ref="BY218" si="631">SUM(BY210:BY217)</f>
        <v>0</v>
      </c>
      <c r="BZ218" s="49"/>
      <c r="CA218" s="84"/>
      <c r="CB218" s="71">
        <f t="shared" ref="CB218" si="632">SUM(CB210:CB217)</f>
        <v>0</v>
      </c>
      <c r="CC218" s="49"/>
      <c r="CD218" s="84"/>
      <c r="CE218" s="71">
        <f t="shared" ref="CE218" si="633">SUM(CE210:CE217)</f>
        <v>0</v>
      </c>
      <c r="CF218" s="49"/>
      <c r="CG218" s="84"/>
      <c r="CH218" s="71">
        <f t="shared" ref="CH218" si="634">SUM(CH210:CH217)</f>
        <v>0</v>
      </c>
      <c r="CI218" s="49"/>
      <c r="CJ218" s="84"/>
      <c r="CK218" s="71">
        <f t="shared" ref="CK218" si="635">SUM(CK210:CK217)</f>
        <v>0</v>
      </c>
      <c r="CL218" s="49"/>
      <c r="CM218" s="84"/>
      <c r="CN218" s="71">
        <f t="shared" ref="CN218" si="636">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0</v>
      </c>
      <c r="G220" s="407">
        <f ca="1">VLOOKUP(H220,Equipos!$Q$1:$R$25,2,0)</f>
        <v>22</v>
      </c>
      <c r="H220" s="65" t="str">
        <f>Idiomas!$D$262</f>
        <v>Cuartos de final</v>
      </c>
      <c r="I220" s="43">
        <v>1</v>
      </c>
      <c r="J220" s="846" t="s">
        <v>34</v>
      </c>
      <c r="K220" s="53" t="str">
        <f>CONCATENATE(WORLDCUP!AA131,"-",WORLDCUP!AF131)</f>
        <v>W89-W90</v>
      </c>
      <c r="L220" s="53" t="str">
        <f>IF(OR(WORLDCUP!AC131="",WORLDCUP!AD131=""),"PD",IF(WORLDCUP!AC131&gt;WORLDCUP!AD131,1,IF(WORLDCUP!AC131&lt;WORLDCUP!AD131,2,0)))</f>
        <v>PD</v>
      </c>
      <c r="M220" s="55" t="str">
        <f t="shared" ref="M220:M223" si="637">IF(L220="PD","-",N220&amp;"-"&amp;O220)</f>
        <v>-</v>
      </c>
      <c r="N220" s="25">
        <f>WORLDCUP!AC131</f>
        <v>0</v>
      </c>
      <c r="O220" s="25">
        <f>WORLDCUP!AD131</f>
        <v>0</v>
      </c>
      <c r="P220" s="25">
        <f t="shared" ref="P220:P223" si="638">+N220-O220</f>
        <v>0</v>
      </c>
      <c r="Q220" s="25">
        <f>+A220-B220</f>
        <v>0</v>
      </c>
      <c r="R220" s="110"/>
      <c r="S220" s="76" t="s">
        <v>2028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2003</v>
      </c>
      <c r="W220" s="77">
        <f t="shared" ref="W220:CH223" si="639">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2083</v>
      </c>
      <c r="Z220" s="77">
        <f t="shared" ref="Z220" si="640">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2101</v>
      </c>
      <c r="AC220" s="77">
        <f>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2061</v>
      </c>
      <c r="AF220" s="77">
        <f>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2028</v>
      </c>
      <c r="AI220" s="77">
        <f t="shared" ref="AI220" si="64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2003</v>
      </c>
      <c r="AL220" s="77">
        <f t="shared" ref="AL220" si="64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4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4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4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4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4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4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4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5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5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5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5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5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5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5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5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5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5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6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61">SUM($D$24:$D$26)*I221</f>
        <v>0</v>
      </c>
      <c r="G221" s="407">
        <f ca="1">VLOOKUP(H221,Equipos!$Q$1:$R$25,2,0)</f>
        <v>22</v>
      </c>
      <c r="H221" s="65" t="str">
        <f>Idiomas!$D$262</f>
        <v>Cuartos de final</v>
      </c>
      <c r="I221" s="43">
        <v>1</v>
      </c>
      <c r="J221" s="846"/>
      <c r="K221" s="56" t="str">
        <f>CONCATENATE(WORLDCUP!AA132,"-",WORLDCUP!AF132)</f>
        <v>W93-W94</v>
      </c>
      <c r="L221" s="53" t="str">
        <f>IF(OR(WORLDCUP!AC132="",WORLDCUP!AD132=""),"PD",IF(WORLDCUP!AC132&gt;WORLDCUP!AD132,1,IF(WORLDCUP!AC132&lt;WORLDCUP!AD132,2,0)))</f>
        <v>PD</v>
      </c>
      <c r="M221" s="55" t="str">
        <f t="shared" si="637"/>
        <v>-</v>
      </c>
      <c r="N221" s="25">
        <f>WORLDCUP!AC132</f>
        <v>0</v>
      </c>
      <c r="O221" s="25">
        <f>WORLDCUP!AD132</f>
        <v>0</v>
      </c>
      <c r="P221" s="25">
        <f t="shared" si="638"/>
        <v>0</v>
      </c>
      <c r="Q221" s="25">
        <f>+A221-B221</f>
        <v>0</v>
      </c>
      <c r="R221" s="110"/>
      <c r="S221" s="74" t="s">
        <v>2029</v>
      </c>
      <c r="T221" s="77">
        <f t="shared" ref="T221:T223" si="66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2004</v>
      </c>
      <c r="W221" s="77">
        <f t="shared" si="639"/>
        <v>0</v>
      </c>
      <c r="X221" s="110"/>
      <c r="Y221" s="74" t="s">
        <v>2084</v>
      </c>
      <c r="Z221" s="77">
        <f t="shared" si="639"/>
        <v>0</v>
      </c>
      <c r="AA221" s="110"/>
      <c r="AB221" s="74" t="s">
        <v>2102</v>
      </c>
      <c r="AC221" s="77">
        <f>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110"/>
      <c r="AE221" s="74" t="s">
        <v>2004</v>
      </c>
      <c r="AF221" s="77">
        <f>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110"/>
      <c r="AH221" s="74" t="s">
        <v>2004</v>
      </c>
      <c r="AI221" s="77">
        <f t="shared" si="639"/>
        <v>0</v>
      </c>
      <c r="AJ221" s="110"/>
      <c r="AK221" s="74" t="s">
        <v>2004</v>
      </c>
      <c r="AL221" s="77">
        <f t="shared" si="639"/>
        <v>0</v>
      </c>
      <c r="AM221" s="110"/>
      <c r="AN221" s="74"/>
      <c r="AO221" s="77">
        <f t="shared" si="639"/>
        <v>0</v>
      </c>
      <c r="AP221" s="110"/>
      <c r="AQ221" s="74"/>
      <c r="AR221" s="77">
        <f t="shared" si="639"/>
        <v>0</v>
      </c>
      <c r="AS221" s="110"/>
      <c r="AT221" s="74"/>
      <c r="AU221" s="77">
        <f t="shared" si="639"/>
        <v>0</v>
      </c>
      <c r="AV221" s="110"/>
      <c r="AW221" s="74"/>
      <c r="AX221" s="77">
        <f t="shared" si="639"/>
        <v>0</v>
      </c>
      <c r="AY221" s="110"/>
      <c r="AZ221" s="74"/>
      <c r="BA221" s="77">
        <f t="shared" si="639"/>
        <v>0</v>
      </c>
      <c r="BB221" s="110"/>
      <c r="BC221" s="74"/>
      <c r="BD221" s="77">
        <f t="shared" si="639"/>
        <v>0</v>
      </c>
      <c r="BE221" s="110"/>
      <c r="BF221" s="74"/>
      <c r="BG221" s="77">
        <f t="shared" si="639"/>
        <v>0</v>
      </c>
      <c r="BH221" s="110"/>
      <c r="BI221" s="74"/>
      <c r="BJ221" s="77">
        <f t="shared" si="639"/>
        <v>0</v>
      </c>
      <c r="BK221" s="110"/>
      <c r="BL221" s="74"/>
      <c r="BM221" s="77">
        <f t="shared" si="639"/>
        <v>0</v>
      </c>
      <c r="BN221" s="110"/>
      <c r="BO221" s="74"/>
      <c r="BP221" s="77">
        <f t="shared" si="639"/>
        <v>0</v>
      </c>
      <c r="BQ221" s="110"/>
      <c r="BR221" s="74"/>
      <c r="BS221" s="77">
        <f t="shared" si="639"/>
        <v>0</v>
      </c>
      <c r="BT221" s="110"/>
      <c r="BU221" s="74"/>
      <c r="BV221" s="77">
        <f t="shared" si="639"/>
        <v>0</v>
      </c>
      <c r="BW221" s="110"/>
      <c r="BX221" s="74"/>
      <c r="BY221" s="77">
        <f t="shared" si="639"/>
        <v>0</v>
      </c>
      <c r="BZ221" s="110"/>
      <c r="CA221" s="74"/>
      <c r="CB221" s="77">
        <f t="shared" si="639"/>
        <v>0</v>
      </c>
      <c r="CC221" s="110"/>
      <c r="CD221" s="74"/>
      <c r="CE221" s="77">
        <f t="shared" si="639"/>
        <v>0</v>
      </c>
      <c r="CF221" s="110"/>
      <c r="CG221" s="74"/>
      <c r="CH221" s="77">
        <f t="shared" si="639"/>
        <v>0</v>
      </c>
      <c r="CI221" s="110"/>
      <c r="CJ221" s="74"/>
      <c r="CK221" s="77">
        <f t="shared" si="659"/>
        <v>0</v>
      </c>
      <c r="CL221" s="110"/>
      <c r="CM221" s="74"/>
      <c r="CN221" s="77">
        <f t="shared" si="65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61"/>
        <v>0</v>
      </c>
      <c r="G222" s="407">
        <f ca="1">VLOOKUP(H222,Equipos!$Q$1:$R$25,2,0)</f>
        <v>22</v>
      </c>
      <c r="H222" s="65" t="str">
        <f>Idiomas!$D$262</f>
        <v>Cuartos de final</v>
      </c>
      <c r="I222" s="43">
        <v>1</v>
      </c>
      <c r="J222" s="846"/>
      <c r="K222" s="56" t="str">
        <f>CONCATENATE(WORLDCUP!AA133,"-",WORLDCUP!AF133)</f>
        <v>W91-W92</v>
      </c>
      <c r="L222" s="53" t="str">
        <f>IF(OR(WORLDCUP!AC133="",WORLDCUP!AD133=""),"PD",IF(WORLDCUP!AC133&gt;WORLDCUP!AD133,1,IF(WORLDCUP!AC133&lt;WORLDCUP!AD133,2,0)))</f>
        <v>PD</v>
      </c>
      <c r="M222" s="55" t="str">
        <f t="shared" si="637"/>
        <v>-</v>
      </c>
      <c r="N222" s="25">
        <f>WORLDCUP!AC133</f>
        <v>0</v>
      </c>
      <c r="O222" s="25">
        <f>WORLDCUP!AD133</f>
        <v>0</v>
      </c>
      <c r="P222" s="25">
        <f t="shared" si="638"/>
        <v>0</v>
      </c>
      <c r="Q222" s="25">
        <f>+A222-B222</f>
        <v>0</v>
      </c>
      <c r="R222" s="110"/>
      <c r="S222" s="74" t="s">
        <v>2005</v>
      </c>
      <c r="T222" s="77">
        <f t="shared" si="662"/>
        <v>0</v>
      </c>
      <c r="U222" s="110"/>
      <c r="V222" s="74" t="s">
        <v>2046</v>
      </c>
      <c r="W222" s="77">
        <f t="shared" si="639"/>
        <v>0</v>
      </c>
      <c r="X222" s="110"/>
      <c r="Y222" s="74" t="s">
        <v>2085</v>
      </c>
      <c r="Z222" s="77">
        <f t="shared" si="639"/>
        <v>0</v>
      </c>
      <c r="AA222" s="110"/>
      <c r="AB222" s="74" t="s">
        <v>2103</v>
      </c>
      <c r="AC222" s="77">
        <f>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110"/>
      <c r="AE222" s="74" t="s">
        <v>2062</v>
      </c>
      <c r="AF222" s="77">
        <f>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110"/>
      <c r="AH222" s="74" t="s">
        <v>2005</v>
      </c>
      <c r="AI222" s="77">
        <f t="shared" si="639"/>
        <v>0</v>
      </c>
      <c r="AJ222" s="110"/>
      <c r="AK222" s="74" t="s">
        <v>2005</v>
      </c>
      <c r="AL222" s="77">
        <f t="shared" si="639"/>
        <v>0</v>
      </c>
      <c r="AM222" s="110"/>
      <c r="AN222" s="74"/>
      <c r="AO222" s="77">
        <f t="shared" si="639"/>
        <v>0</v>
      </c>
      <c r="AP222" s="110"/>
      <c r="AQ222" s="74"/>
      <c r="AR222" s="77">
        <f t="shared" si="639"/>
        <v>0</v>
      </c>
      <c r="AS222" s="110"/>
      <c r="AT222" s="74"/>
      <c r="AU222" s="77">
        <f t="shared" si="639"/>
        <v>0</v>
      </c>
      <c r="AV222" s="110"/>
      <c r="AW222" s="74"/>
      <c r="AX222" s="77">
        <f t="shared" si="639"/>
        <v>0</v>
      </c>
      <c r="AY222" s="110"/>
      <c r="AZ222" s="74"/>
      <c r="BA222" s="77">
        <f t="shared" si="639"/>
        <v>0</v>
      </c>
      <c r="BB222" s="110"/>
      <c r="BC222" s="74"/>
      <c r="BD222" s="77">
        <f t="shared" si="639"/>
        <v>0</v>
      </c>
      <c r="BE222" s="110"/>
      <c r="BF222" s="74"/>
      <c r="BG222" s="77">
        <f t="shared" si="639"/>
        <v>0</v>
      </c>
      <c r="BH222" s="110"/>
      <c r="BI222" s="74"/>
      <c r="BJ222" s="77">
        <f t="shared" si="639"/>
        <v>0</v>
      </c>
      <c r="BK222" s="110"/>
      <c r="BL222" s="74"/>
      <c r="BM222" s="77">
        <f t="shared" si="639"/>
        <v>0</v>
      </c>
      <c r="BN222" s="110"/>
      <c r="BO222" s="74"/>
      <c r="BP222" s="77">
        <f t="shared" si="639"/>
        <v>0</v>
      </c>
      <c r="BQ222" s="110"/>
      <c r="BR222" s="74"/>
      <c r="BS222" s="77">
        <f t="shared" si="639"/>
        <v>0</v>
      </c>
      <c r="BT222" s="110"/>
      <c r="BU222" s="74"/>
      <c r="BV222" s="77">
        <f t="shared" si="639"/>
        <v>0</v>
      </c>
      <c r="BW222" s="110"/>
      <c r="BX222" s="74"/>
      <c r="BY222" s="77">
        <f t="shared" si="639"/>
        <v>0</v>
      </c>
      <c r="BZ222" s="110"/>
      <c r="CA222" s="74"/>
      <c r="CB222" s="77">
        <f t="shared" si="639"/>
        <v>0</v>
      </c>
      <c r="CC222" s="110"/>
      <c r="CD222" s="74"/>
      <c r="CE222" s="77">
        <f t="shared" si="639"/>
        <v>0</v>
      </c>
      <c r="CF222" s="110"/>
      <c r="CG222" s="74"/>
      <c r="CH222" s="77">
        <f t="shared" si="639"/>
        <v>0</v>
      </c>
      <c r="CI222" s="110"/>
      <c r="CJ222" s="74"/>
      <c r="CK222" s="77">
        <f t="shared" si="659"/>
        <v>0</v>
      </c>
      <c r="CL222" s="110"/>
      <c r="CM222" s="74"/>
      <c r="CN222" s="77">
        <f t="shared" si="65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61"/>
        <v>0</v>
      </c>
      <c r="G223" s="407">
        <f ca="1">VLOOKUP(H223,Equipos!$Q$1:$R$25,2,0)</f>
        <v>22</v>
      </c>
      <c r="H223" s="65" t="str">
        <f>Idiomas!$D$262</f>
        <v>Cuartos de final</v>
      </c>
      <c r="I223" s="43">
        <v>1</v>
      </c>
      <c r="J223" s="846"/>
      <c r="K223" s="115" t="str">
        <f>CONCATENATE(WORLDCUP!AA134,"-",WORLDCUP!AF134)</f>
        <v>W95-W96</v>
      </c>
      <c r="L223" s="115" t="str">
        <f>IF(OR(WORLDCUP!AC134="",WORLDCUP!AD134=""),"PD",IF(WORLDCUP!AC134&gt;WORLDCUP!AD134,1,IF(WORLDCUP!AC134&lt;WORLDCUP!AD134,2,0)))</f>
        <v>PD</v>
      </c>
      <c r="M223" s="116" t="str">
        <f t="shared" si="637"/>
        <v>-</v>
      </c>
      <c r="N223" s="25">
        <f>WORLDCUP!AC134</f>
        <v>0</v>
      </c>
      <c r="O223" s="25">
        <f>WORLDCUP!AD134</f>
        <v>0</v>
      </c>
      <c r="P223" s="25">
        <f t="shared" si="638"/>
        <v>0</v>
      </c>
      <c r="Q223" s="25">
        <f>+A223-B223</f>
        <v>0</v>
      </c>
      <c r="R223" s="110"/>
      <c r="S223" s="80" t="s">
        <v>2030</v>
      </c>
      <c r="T223" s="81">
        <f t="shared" si="662"/>
        <v>0</v>
      </c>
      <c r="U223" s="110"/>
      <c r="V223" s="80" t="s">
        <v>2030</v>
      </c>
      <c r="W223" s="81">
        <f t="shared" si="639"/>
        <v>0</v>
      </c>
      <c r="X223" s="110"/>
      <c r="Y223" s="80" t="s">
        <v>2086</v>
      </c>
      <c r="Z223" s="81">
        <f t="shared" si="639"/>
        <v>0</v>
      </c>
      <c r="AA223" s="110"/>
      <c r="AB223" s="80" t="s">
        <v>2104</v>
      </c>
      <c r="AC223" s="81">
        <f>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110"/>
      <c r="AE223" s="80" t="s">
        <v>2063</v>
      </c>
      <c r="AF223" s="81">
        <f>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110"/>
      <c r="AH223" s="80" t="s">
        <v>2063</v>
      </c>
      <c r="AI223" s="81">
        <f t="shared" si="639"/>
        <v>0</v>
      </c>
      <c r="AJ223" s="110"/>
      <c r="AK223" s="80" t="s">
        <v>2006</v>
      </c>
      <c r="AL223" s="81">
        <f t="shared" si="639"/>
        <v>0</v>
      </c>
      <c r="AM223" s="110"/>
      <c r="AN223" s="80"/>
      <c r="AO223" s="81">
        <f t="shared" si="639"/>
        <v>0</v>
      </c>
      <c r="AP223" s="110"/>
      <c r="AQ223" s="80"/>
      <c r="AR223" s="81">
        <f t="shared" si="639"/>
        <v>0</v>
      </c>
      <c r="AS223" s="110"/>
      <c r="AT223" s="80"/>
      <c r="AU223" s="81">
        <f t="shared" si="639"/>
        <v>0</v>
      </c>
      <c r="AV223" s="110"/>
      <c r="AW223" s="80"/>
      <c r="AX223" s="81">
        <f t="shared" si="639"/>
        <v>0</v>
      </c>
      <c r="AY223" s="110"/>
      <c r="AZ223" s="80"/>
      <c r="BA223" s="81">
        <f t="shared" si="639"/>
        <v>0</v>
      </c>
      <c r="BB223" s="110"/>
      <c r="BC223" s="80"/>
      <c r="BD223" s="81">
        <f t="shared" si="639"/>
        <v>0</v>
      </c>
      <c r="BE223" s="110"/>
      <c r="BF223" s="80"/>
      <c r="BG223" s="81">
        <f t="shared" si="639"/>
        <v>0</v>
      </c>
      <c r="BH223" s="110"/>
      <c r="BI223" s="80"/>
      <c r="BJ223" s="81">
        <f t="shared" si="639"/>
        <v>0</v>
      </c>
      <c r="BK223" s="110"/>
      <c r="BL223" s="80"/>
      <c r="BM223" s="81">
        <f t="shared" si="639"/>
        <v>0</v>
      </c>
      <c r="BN223" s="110"/>
      <c r="BO223" s="80"/>
      <c r="BP223" s="81">
        <f t="shared" si="639"/>
        <v>0</v>
      </c>
      <c r="BQ223" s="110"/>
      <c r="BR223" s="80"/>
      <c r="BS223" s="81">
        <f t="shared" si="639"/>
        <v>0</v>
      </c>
      <c r="BT223" s="110"/>
      <c r="BU223" s="80"/>
      <c r="BV223" s="81">
        <f t="shared" si="639"/>
        <v>0</v>
      </c>
      <c r="BW223" s="110"/>
      <c r="BX223" s="80"/>
      <c r="BY223" s="81">
        <f t="shared" si="639"/>
        <v>0</v>
      </c>
      <c r="BZ223" s="110"/>
      <c r="CA223" s="80"/>
      <c r="CB223" s="81">
        <f t="shared" si="639"/>
        <v>0</v>
      </c>
      <c r="CC223" s="110"/>
      <c r="CD223" s="80"/>
      <c r="CE223" s="81">
        <f t="shared" si="639"/>
        <v>0</v>
      </c>
      <c r="CF223" s="110"/>
      <c r="CG223" s="80"/>
      <c r="CH223" s="81">
        <f t="shared" si="639"/>
        <v>0</v>
      </c>
      <c r="CI223" s="110"/>
      <c r="CJ223" s="80"/>
      <c r="CK223" s="81">
        <f t="shared" si="659"/>
        <v>0</v>
      </c>
      <c r="CL223" s="110"/>
      <c r="CM223" s="80"/>
      <c r="CN223" s="81">
        <f t="shared" si="65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0</v>
      </c>
      <c r="N224" s="25"/>
      <c r="O224" s="25"/>
      <c r="P224" s="25"/>
      <c r="Q224" s="25"/>
      <c r="R224" s="49"/>
      <c r="S224" s="84"/>
      <c r="T224" s="71">
        <f>SUM(T220:T223)</f>
        <v>0</v>
      </c>
      <c r="U224" s="65"/>
      <c r="V224" s="84"/>
      <c r="W224" s="71">
        <f t="shared" ref="W224" si="663">SUM(W220:W223)</f>
        <v>0</v>
      </c>
      <c r="X224" s="65"/>
      <c r="Y224" s="84"/>
      <c r="Z224" s="71">
        <f t="shared" ref="Z224" si="664">SUM(Z220:Z223)</f>
        <v>0</v>
      </c>
      <c r="AA224" s="65"/>
      <c r="AB224" s="84"/>
      <c r="AC224" s="71">
        <f t="shared" ref="AC224" si="665">SUM(AC220:AC223)</f>
        <v>0</v>
      </c>
      <c r="AD224" s="65"/>
      <c r="AE224" s="84"/>
      <c r="AF224" s="71">
        <f t="shared" ref="AF224" si="666">SUM(AF220:AF223)</f>
        <v>0</v>
      </c>
      <c r="AG224" s="65"/>
      <c r="AH224" s="84"/>
      <c r="AI224" s="71">
        <f t="shared" ref="AI224" si="667">SUM(AI220:AI223)</f>
        <v>0</v>
      </c>
      <c r="AJ224" s="65"/>
      <c r="AK224" s="84"/>
      <c r="AL224" s="71">
        <f t="shared" ref="AL224" si="668">SUM(AL220:AL223)</f>
        <v>0</v>
      </c>
      <c r="AM224" s="65"/>
      <c r="AN224" s="84"/>
      <c r="AO224" s="71">
        <f t="shared" ref="AO224" si="669">SUM(AO220:AO223)</f>
        <v>0</v>
      </c>
      <c r="AP224" s="65"/>
      <c r="AQ224" s="84"/>
      <c r="AR224" s="71">
        <f t="shared" ref="AR224" si="670">SUM(AR220:AR223)</f>
        <v>0</v>
      </c>
      <c r="AS224" s="65"/>
      <c r="AT224" s="84"/>
      <c r="AU224" s="71">
        <f t="shared" ref="AU224" si="671">SUM(AU220:AU223)</f>
        <v>0</v>
      </c>
      <c r="AV224" s="65"/>
      <c r="AW224" s="84"/>
      <c r="AX224" s="71">
        <f t="shared" ref="AX224" si="672">SUM(AX220:AX223)</f>
        <v>0</v>
      </c>
      <c r="AY224" s="65"/>
      <c r="AZ224" s="84"/>
      <c r="BA224" s="71">
        <f t="shared" ref="BA224" si="673">SUM(BA220:BA223)</f>
        <v>0</v>
      </c>
      <c r="BB224" s="65"/>
      <c r="BC224" s="84"/>
      <c r="BD224" s="71">
        <f t="shared" ref="BD224" si="674">SUM(BD220:BD223)</f>
        <v>0</v>
      </c>
      <c r="BE224" s="65"/>
      <c r="BF224" s="84"/>
      <c r="BG224" s="71">
        <f t="shared" ref="BG224" si="675">SUM(BG220:BG223)</f>
        <v>0</v>
      </c>
      <c r="BH224" s="65"/>
      <c r="BI224" s="84"/>
      <c r="BJ224" s="71">
        <f t="shared" ref="BJ224" si="676">SUM(BJ220:BJ223)</f>
        <v>0</v>
      </c>
      <c r="BK224" s="65"/>
      <c r="BL224" s="84"/>
      <c r="BM224" s="71">
        <f t="shared" ref="BM224" si="677">SUM(BM220:BM223)</f>
        <v>0</v>
      </c>
      <c r="BN224" s="65"/>
      <c r="BO224" s="84"/>
      <c r="BP224" s="71">
        <f t="shared" ref="BP224" si="678">SUM(BP220:BP223)</f>
        <v>0</v>
      </c>
      <c r="BQ224" s="65"/>
      <c r="BR224" s="84"/>
      <c r="BS224" s="71">
        <f t="shared" ref="BS224" si="679">SUM(BS220:BS223)</f>
        <v>0</v>
      </c>
      <c r="BT224" s="65"/>
      <c r="BU224" s="84"/>
      <c r="BV224" s="71">
        <f t="shared" ref="BV224" si="680">SUM(BV220:BV223)</f>
        <v>0</v>
      </c>
      <c r="BW224" s="65"/>
      <c r="BX224" s="84"/>
      <c r="BY224" s="71">
        <f t="shared" ref="BY224" si="681">SUM(BY220:BY223)</f>
        <v>0</v>
      </c>
      <c r="BZ224" s="65"/>
      <c r="CA224" s="84"/>
      <c r="CB224" s="71">
        <f t="shared" ref="CB224" si="682">SUM(CB220:CB223)</f>
        <v>0</v>
      </c>
      <c r="CC224" s="65"/>
      <c r="CD224" s="84"/>
      <c r="CE224" s="71">
        <f t="shared" ref="CE224" si="683">SUM(CE220:CE223)</f>
        <v>0</v>
      </c>
      <c r="CF224" s="65"/>
      <c r="CG224" s="84"/>
      <c r="CH224" s="71">
        <f t="shared" ref="CH224" si="684">SUM(CH220:CH223)</f>
        <v>0</v>
      </c>
      <c r="CI224" s="65"/>
      <c r="CJ224" s="84"/>
      <c r="CK224" s="71">
        <f t="shared" ref="CK224" si="685">SUM(CK220:CK223)</f>
        <v>0</v>
      </c>
      <c r="CL224" s="65"/>
      <c r="CM224" s="84"/>
      <c r="CN224" s="71">
        <f t="shared" ref="CN224" si="68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12</v>
      </c>
      <c r="G226" s="407">
        <f ca="1">VLOOKUP(H226,Equipos!$Q$1:$R$25,2,0)</f>
        <v>22</v>
      </c>
      <c r="H226" s="65" t="str">
        <f>Idiomas!$D$262</f>
        <v>Cuartos de final</v>
      </c>
      <c r="I226" s="50"/>
      <c r="J226" s="846"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74</v>
      </c>
      <c r="W226" s="77">
        <f t="shared" ref="W226" si="687">COUNTIF($M$226:$M$229,V226)*$D$27</f>
        <v>0</v>
      </c>
      <c r="X226" s="64"/>
      <c r="Y226" s="76" t="s">
        <v>77</v>
      </c>
      <c r="Z226" s="77">
        <f t="shared" ref="Z226" si="688">COUNTIF($M$226:$M$229,Y226)*$D$27</f>
        <v>0</v>
      </c>
      <c r="AA226" s="64"/>
      <c r="AB226" s="76" t="s">
        <v>74</v>
      </c>
      <c r="AC226" s="77">
        <f>COUNTIF($M$226:$M$229,AB226)*$D$27</f>
        <v>0</v>
      </c>
      <c r="AD226" s="64"/>
      <c r="AE226" s="76" t="s">
        <v>1321</v>
      </c>
      <c r="AF226" s="77">
        <f>COUNTIF($M$226:$M$229,AE226)*$D$27</f>
        <v>0</v>
      </c>
      <c r="AG226" s="64"/>
      <c r="AH226" s="76" t="s">
        <v>74</v>
      </c>
      <c r="AI226" s="77">
        <f t="shared" ref="AI226" si="689">COUNTIF($M$226:$M$229,AH226)*$D$27</f>
        <v>0</v>
      </c>
      <c r="AJ226" s="64"/>
      <c r="AK226" s="76" t="s">
        <v>74</v>
      </c>
      <c r="AL226" s="77">
        <f t="shared" ref="AL226" si="690">COUNTIF($M$226:$M$229,AK226)*$D$27</f>
        <v>0</v>
      </c>
      <c r="AM226" s="64"/>
      <c r="AN226" s="76"/>
      <c r="AO226" s="77">
        <f t="shared" ref="AO226" si="691">COUNTIF($M$226:$M$229,AN226)*$D$27</f>
        <v>0</v>
      </c>
      <c r="AP226" s="64"/>
      <c r="AQ226" s="76"/>
      <c r="AR226" s="77">
        <f t="shared" ref="AR226" si="692">COUNTIF($M$226:$M$229,AQ226)*$D$27</f>
        <v>0</v>
      </c>
      <c r="AS226" s="64"/>
      <c r="AT226" s="76"/>
      <c r="AU226" s="77">
        <f t="shared" ref="AU226" si="693">COUNTIF($M$226:$M$229,AT226)*$D$27</f>
        <v>0</v>
      </c>
      <c r="AV226" s="64"/>
      <c r="AW226" s="76"/>
      <c r="AX226" s="77">
        <f t="shared" ref="AX226" si="694">COUNTIF($M$226:$M$229,AW226)*$D$27</f>
        <v>0</v>
      </c>
      <c r="AY226" s="64"/>
      <c r="AZ226" s="76"/>
      <c r="BA226" s="77">
        <f t="shared" ref="BA226" si="695">COUNTIF($M$226:$M$229,AZ226)*$D$27</f>
        <v>0</v>
      </c>
      <c r="BB226" s="64"/>
      <c r="BC226" s="76"/>
      <c r="BD226" s="77">
        <f t="shared" ref="BD226" si="696">COUNTIF($M$226:$M$229,BC226)*$D$27</f>
        <v>0</v>
      </c>
      <c r="BE226" s="64"/>
      <c r="BF226" s="76"/>
      <c r="BG226" s="77">
        <f t="shared" ref="BG226" si="697">COUNTIF($M$226:$M$229,BF226)*$D$27</f>
        <v>0</v>
      </c>
      <c r="BH226" s="64"/>
      <c r="BI226" s="76"/>
      <c r="BJ226" s="77">
        <f t="shared" ref="BJ226" si="698">COUNTIF($M$226:$M$229,BI226)*$D$27</f>
        <v>0</v>
      </c>
      <c r="BK226" s="64"/>
      <c r="BL226" s="76"/>
      <c r="BM226" s="77">
        <f t="shared" ref="BM226" si="699">COUNTIF($M$226:$M$229,BL226)*$D$27</f>
        <v>0</v>
      </c>
      <c r="BN226" s="64"/>
      <c r="BO226" s="76"/>
      <c r="BP226" s="77">
        <f t="shared" ref="BP226" si="700">COUNTIF($M$226:$M$229,BO226)*$D$27</f>
        <v>0</v>
      </c>
      <c r="BQ226" s="64"/>
      <c r="BR226" s="76"/>
      <c r="BS226" s="77">
        <f t="shared" ref="BS226" si="701">COUNTIF($M$226:$M$229,BR226)*$D$27</f>
        <v>0</v>
      </c>
      <c r="BT226" s="64"/>
      <c r="BU226" s="76"/>
      <c r="BV226" s="77">
        <f t="shared" ref="BV226" si="702">COUNTIF($M$226:$M$229,BU226)*$D$27</f>
        <v>0</v>
      </c>
      <c r="BW226" s="64"/>
      <c r="BX226" s="76"/>
      <c r="BY226" s="77">
        <f t="shared" ref="BY226" si="703">COUNTIF($M$226:$M$229,BX226)*$D$27</f>
        <v>0</v>
      </c>
      <c r="BZ226" s="64"/>
      <c r="CA226" s="76"/>
      <c r="CB226" s="77">
        <f t="shared" ref="CB226" si="704">COUNTIF($M$226:$M$229,CA226)*$D$27</f>
        <v>0</v>
      </c>
      <c r="CC226" s="64"/>
      <c r="CD226" s="76"/>
      <c r="CE226" s="77">
        <f t="shared" ref="CE226" si="705">COUNTIF($M$226:$M$229,CD226)*$D$27</f>
        <v>0</v>
      </c>
      <c r="CF226" s="64"/>
      <c r="CG226" s="76"/>
      <c r="CH226" s="77">
        <f t="shared" ref="CH226" si="706">COUNTIF($M$226:$M$229,CG226)*$D$27</f>
        <v>0</v>
      </c>
      <c r="CI226" s="64"/>
      <c r="CJ226" s="76"/>
      <c r="CK226" s="77">
        <f t="shared" ref="CK226" si="707">COUNTIF($M$226:$M$229,CJ226)*$D$27</f>
        <v>0</v>
      </c>
      <c r="CL226" s="64"/>
      <c r="CM226" s="76"/>
      <c r="CN226" s="77">
        <f t="shared" ref="CN226" si="708">COUNTIF($M$226:$M$229,CM226)*$D$27</f>
        <v>0</v>
      </c>
      <c r="CO226" s="64"/>
      <c r="CP226" s="64"/>
    </row>
    <row r="227" spans="1:94">
      <c r="A227" s="25"/>
      <c r="B227" s="25"/>
      <c r="C227" s="25"/>
      <c r="D227" s="25"/>
      <c r="E227" s="25"/>
      <c r="F227" s="407">
        <f t="shared" ref="F227:F229" si="709">$D$27</f>
        <v>12</v>
      </c>
      <c r="G227" s="407">
        <f ca="1">VLOOKUP(H227,Equipos!$Q$1:$R$25,2,0)</f>
        <v>22</v>
      </c>
      <c r="H227" s="65" t="str">
        <f>Idiomas!$D$262</f>
        <v>Cuartos de final</v>
      </c>
      <c r="I227" s="50"/>
      <c r="J227" s="846"/>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10">COUNTIF($M$226:$M$229,V227)*$D$27</f>
        <v>0</v>
      </c>
      <c r="X227" s="64"/>
      <c r="Y227" s="74" t="s">
        <v>76</v>
      </c>
      <c r="Z227" s="73">
        <f t="shared" ref="Z227" si="711">COUNTIF($M$226:$M$229,Y227)*$D$27</f>
        <v>0</v>
      </c>
      <c r="AA227" s="64"/>
      <c r="AB227" s="74" t="s">
        <v>76</v>
      </c>
      <c r="AC227" s="73">
        <f>COUNTIF($M$226:$M$229,AB227)*$D$27</f>
        <v>0</v>
      </c>
      <c r="AD227" s="64"/>
      <c r="AE227" s="74" t="s">
        <v>135</v>
      </c>
      <c r="AF227" s="73">
        <f>COUNTIF($M$226:$M$229,AE227)*$D$27</f>
        <v>0</v>
      </c>
      <c r="AG227" s="64"/>
      <c r="AH227" s="74" t="s">
        <v>76</v>
      </c>
      <c r="AI227" s="73">
        <f t="shared" ref="AI227" si="712">COUNTIF($M$226:$M$229,AH227)*$D$27</f>
        <v>0</v>
      </c>
      <c r="AJ227" s="64"/>
      <c r="AK227" s="74" t="s">
        <v>76</v>
      </c>
      <c r="AL227" s="73">
        <f t="shared" ref="AL227" si="713">COUNTIF($M$226:$M$229,AK227)*$D$27</f>
        <v>0</v>
      </c>
      <c r="AM227" s="64"/>
      <c r="AN227" s="74"/>
      <c r="AO227" s="73">
        <f t="shared" ref="AO227" si="714">COUNTIF($M$226:$M$229,AN227)*$D$27</f>
        <v>0</v>
      </c>
      <c r="AP227" s="64"/>
      <c r="AQ227" s="74"/>
      <c r="AR227" s="73">
        <f t="shared" ref="AR227" si="715">COUNTIF($M$226:$M$229,AQ227)*$D$27</f>
        <v>0</v>
      </c>
      <c r="AS227" s="64"/>
      <c r="AT227" s="74"/>
      <c r="AU227" s="73">
        <f t="shared" ref="AU227" si="716">COUNTIF($M$226:$M$229,AT227)*$D$27</f>
        <v>0</v>
      </c>
      <c r="AV227" s="64"/>
      <c r="AW227" s="74"/>
      <c r="AX227" s="73">
        <f t="shared" ref="AX227" si="717">COUNTIF($M$226:$M$229,AW227)*$D$27</f>
        <v>0</v>
      </c>
      <c r="AY227" s="64"/>
      <c r="AZ227" s="74"/>
      <c r="BA227" s="73">
        <f t="shared" ref="BA227" si="718">COUNTIF($M$226:$M$229,AZ227)*$D$27</f>
        <v>0</v>
      </c>
      <c r="BB227" s="64"/>
      <c r="BC227" s="74"/>
      <c r="BD227" s="73">
        <f t="shared" ref="BD227" si="719">COUNTIF($M$226:$M$229,BC227)*$D$27</f>
        <v>0</v>
      </c>
      <c r="BE227" s="64"/>
      <c r="BF227" s="74"/>
      <c r="BG227" s="73">
        <f t="shared" ref="BG227" si="720">COUNTIF($M$226:$M$229,BF227)*$D$27</f>
        <v>0</v>
      </c>
      <c r="BH227" s="64"/>
      <c r="BI227" s="74"/>
      <c r="BJ227" s="73">
        <f t="shared" ref="BJ227" si="721">COUNTIF($M$226:$M$229,BI227)*$D$27</f>
        <v>0</v>
      </c>
      <c r="BK227" s="64"/>
      <c r="BL227" s="74"/>
      <c r="BM227" s="73">
        <f t="shared" ref="BM227" si="722">COUNTIF($M$226:$M$229,BL227)*$D$27</f>
        <v>0</v>
      </c>
      <c r="BN227" s="64"/>
      <c r="BO227" s="74"/>
      <c r="BP227" s="73">
        <f t="shared" ref="BP227" si="723">COUNTIF($M$226:$M$229,BO227)*$D$27</f>
        <v>0</v>
      </c>
      <c r="BQ227" s="64"/>
      <c r="BR227" s="74"/>
      <c r="BS227" s="73">
        <f t="shared" ref="BS227" si="724">COUNTIF($M$226:$M$229,BR227)*$D$27</f>
        <v>0</v>
      </c>
      <c r="BT227" s="64"/>
      <c r="BU227" s="74"/>
      <c r="BV227" s="73">
        <f t="shared" ref="BV227" si="725">COUNTIF($M$226:$M$229,BU227)*$D$27</f>
        <v>0</v>
      </c>
      <c r="BW227" s="64"/>
      <c r="BX227" s="74"/>
      <c r="BY227" s="73">
        <f t="shared" ref="BY227" si="726">COUNTIF($M$226:$M$229,BX227)*$D$27</f>
        <v>0</v>
      </c>
      <c r="BZ227" s="64"/>
      <c r="CA227" s="74"/>
      <c r="CB227" s="73">
        <f t="shared" ref="CB227" si="727">COUNTIF($M$226:$M$229,CA227)*$D$27</f>
        <v>0</v>
      </c>
      <c r="CC227" s="64"/>
      <c r="CD227" s="74"/>
      <c r="CE227" s="73">
        <f t="shared" ref="CE227" si="728">COUNTIF($M$226:$M$229,CD227)*$D$27</f>
        <v>0</v>
      </c>
      <c r="CF227" s="64"/>
      <c r="CG227" s="74"/>
      <c r="CH227" s="73">
        <f t="shared" ref="CH227" si="729">COUNTIF($M$226:$M$229,CG227)*$D$27</f>
        <v>0</v>
      </c>
      <c r="CI227" s="64"/>
      <c r="CJ227" s="74"/>
      <c r="CK227" s="73">
        <f t="shared" ref="CK227" si="730">COUNTIF($M$226:$M$229,CJ227)*$D$27</f>
        <v>0</v>
      </c>
      <c r="CL227" s="64"/>
      <c r="CM227" s="74"/>
      <c r="CN227" s="73">
        <f t="shared" ref="CN227" si="731">COUNTIF($M$226:$M$229,CM227)*$D$27</f>
        <v>0</v>
      </c>
      <c r="CO227" s="64"/>
      <c r="CP227" s="64"/>
    </row>
    <row r="228" spans="1:94">
      <c r="A228" s="25"/>
      <c r="B228" s="25"/>
      <c r="C228" s="25"/>
      <c r="D228" s="25"/>
      <c r="E228" s="25"/>
      <c r="F228" s="407">
        <f t="shared" si="709"/>
        <v>12</v>
      </c>
      <c r="G228" s="407">
        <f ca="1">VLOOKUP(H228,Equipos!$Q$1:$R$25,2,0)</f>
        <v>22</v>
      </c>
      <c r="H228" s="65" t="str">
        <f>Idiomas!$D$262</f>
        <v>Cuartos de final</v>
      </c>
      <c r="I228" s="50"/>
      <c r="J228" s="846"/>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32">COUNTIF($M$226:$M$229,V228)*$D$27</f>
        <v>0</v>
      </c>
      <c r="X228" s="64"/>
      <c r="Y228" s="74" t="s">
        <v>38</v>
      </c>
      <c r="Z228" s="73">
        <f t="shared" ref="Z228" si="733">COUNTIF($M$226:$M$229,Y228)*$D$27</f>
        <v>0</v>
      </c>
      <c r="AA228" s="64"/>
      <c r="AB228" s="74" t="s">
        <v>38</v>
      </c>
      <c r="AC228" s="73">
        <f>COUNTIF($M$226:$M$229,AB228)*$D$27</f>
        <v>0</v>
      </c>
      <c r="AD228" s="64"/>
      <c r="AE228" s="74" t="s">
        <v>38</v>
      </c>
      <c r="AF228" s="73">
        <f>COUNTIF($M$226:$M$229,AE228)*$D$27</f>
        <v>0</v>
      </c>
      <c r="AG228" s="64"/>
      <c r="AH228" s="74" t="s">
        <v>38</v>
      </c>
      <c r="AI228" s="73">
        <f t="shared" ref="AI228" si="734">COUNTIF($M$226:$M$229,AH228)*$D$27</f>
        <v>0</v>
      </c>
      <c r="AJ228" s="64"/>
      <c r="AK228" s="74" t="s">
        <v>38</v>
      </c>
      <c r="AL228" s="73">
        <f t="shared" ref="AL228" si="735">COUNTIF($M$226:$M$229,AK228)*$D$27</f>
        <v>0</v>
      </c>
      <c r="AM228" s="64"/>
      <c r="AN228" s="74"/>
      <c r="AO228" s="73">
        <f t="shared" ref="AO228" si="736">COUNTIF($M$226:$M$229,AN228)*$D$27</f>
        <v>0</v>
      </c>
      <c r="AP228" s="64"/>
      <c r="AQ228" s="74"/>
      <c r="AR228" s="73">
        <f t="shared" ref="AR228" si="737">COUNTIF($M$226:$M$229,AQ228)*$D$27</f>
        <v>0</v>
      </c>
      <c r="AS228" s="64"/>
      <c r="AT228" s="74"/>
      <c r="AU228" s="73">
        <f t="shared" ref="AU228" si="738">COUNTIF($M$226:$M$229,AT228)*$D$27</f>
        <v>0</v>
      </c>
      <c r="AV228" s="64"/>
      <c r="AW228" s="74"/>
      <c r="AX228" s="73">
        <f t="shared" ref="AX228" si="739">COUNTIF($M$226:$M$229,AW228)*$D$27</f>
        <v>0</v>
      </c>
      <c r="AY228" s="64"/>
      <c r="AZ228" s="74"/>
      <c r="BA228" s="73">
        <f t="shared" ref="BA228" si="740">COUNTIF($M$226:$M$229,AZ228)*$D$27</f>
        <v>0</v>
      </c>
      <c r="BB228" s="64"/>
      <c r="BC228" s="74"/>
      <c r="BD228" s="73">
        <f t="shared" ref="BD228" si="741">COUNTIF($M$226:$M$229,BC228)*$D$27</f>
        <v>0</v>
      </c>
      <c r="BE228" s="64"/>
      <c r="BF228" s="74"/>
      <c r="BG228" s="73">
        <f t="shared" ref="BG228" si="742">COUNTIF($M$226:$M$229,BF228)*$D$27</f>
        <v>0</v>
      </c>
      <c r="BH228" s="64"/>
      <c r="BI228" s="74"/>
      <c r="BJ228" s="73">
        <f t="shared" ref="BJ228" si="743">COUNTIF($M$226:$M$229,BI228)*$D$27</f>
        <v>0</v>
      </c>
      <c r="BK228" s="64"/>
      <c r="BL228" s="74"/>
      <c r="BM228" s="73">
        <f t="shared" ref="BM228" si="744">COUNTIF($M$226:$M$229,BL228)*$D$27</f>
        <v>0</v>
      </c>
      <c r="BN228" s="64"/>
      <c r="BO228" s="74"/>
      <c r="BP228" s="73">
        <f t="shared" ref="BP228" si="745">COUNTIF($M$226:$M$229,BO228)*$D$27</f>
        <v>0</v>
      </c>
      <c r="BQ228" s="64"/>
      <c r="BR228" s="74"/>
      <c r="BS228" s="73">
        <f t="shared" ref="BS228" si="746">COUNTIF($M$226:$M$229,BR228)*$D$27</f>
        <v>0</v>
      </c>
      <c r="BT228" s="64"/>
      <c r="BU228" s="74"/>
      <c r="BV228" s="73">
        <f t="shared" ref="BV228" si="747">COUNTIF($M$226:$M$229,BU228)*$D$27</f>
        <v>0</v>
      </c>
      <c r="BW228" s="64"/>
      <c r="BX228" s="74"/>
      <c r="BY228" s="73">
        <f t="shared" ref="BY228" si="748">COUNTIF($M$226:$M$229,BX228)*$D$27</f>
        <v>0</v>
      </c>
      <c r="BZ228" s="64"/>
      <c r="CA228" s="74"/>
      <c r="CB228" s="73">
        <f t="shared" ref="CB228" si="749">COUNTIF($M$226:$M$229,CA228)*$D$27</f>
        <v>0</v>
      </c>
      <c r="CC228" s="64"/>
      <c r="CD228" s="74"/>
      <c r="CE228" s="73">
        <f t="shared" ref="CE228" si="750">COUNTIF($M$226:$M$229,CD228)*$D$27</f>
        <v>0</v>
      </c>
      <c r="CF228" s="64"/>
      <c r="CG228" s="74"/>
      <c r="CH228" s="73">
        <f t="shared" ref="CH228" si="751">COUNTIF($M$226:$M$229,CG228)*$D$27</f>
        <v>0</v>
      </c>
      <c r="CI228" s="64"/>
      <c r="CJ228" s="74"/>
      <c r="CK228" s="73">
        <f t="shared" ref="CK228" si="752">COUNTIF($M$226:$M$229,CJ228)*$D$27</f>
        <v>0</v>
      </c>
      <c r="CL228" s="64"/>
      <c r="CM228" s="74"/>
      <c r="CN228" s="73">
        <f t="shared" ref="CN228" si="753">COUNTIF($M$226:$M$229,CM228)*$D$27</f>
        <v>0</v>
      </c>
      <c r="CO228" s="64"/>
      <c r="CP228" s="64"/>
    </row>
    <row r="229" spans="1:94">
      <c r="A229" s="25"/>
      <c r="B229" s="25"/>
      <c r="C229" s="25"/>
      <c r="D229" s="25"/>
      <c r="E229" s="25"/>
      <c r="F229" s="407">
        <f t="shared" si="709"/>
        <v>12</v>
      </c>
      <c r="G229" s="407">
        <f ca="1">VLOOKUP(H229,Equipos!$Q$1:$R$25,2,0)</f>
        <v>22</v>
      </c>
      <c r="H229" s="65" t="str">
        <f>Idiomas!$D$262</f>
        <v>Cuartos de final</v>
      </c>
      <c r="I229" s="50"/>
      <c r="J229" s="846"/>
      <c r="K229" s="56" t="str">
        <f>Idiomas!$D$201&amp;"-"&amp;ROWS($L$226:L229)</f>
        <v>Semifinalista-4</v>
      </c>
      <c r="L229" s="53"/>
      <c r="M229" s="55" t="str">
        <f>WORLDCUP!AF139</f>
        <v>W100</v>
      </c>
      <c r="N229" s="25"/>
      <c r="O229" s="25"/>
      <c r="P229" s="25"/>
      <c r="Q229" s="25"/>
      <c r="R229" s="110"/>
      <c r="S229" s="80" t="s">
        <v>1256</v>
      </c>
      <c r="T229" s="81">
        <f>COUNTIF($M$226:$M$229,S229)*$D$27</f>
        <v>0</v>
      </c>
      <c r="U229" s="64"/>
      <c r="V229" s="80" t="s">
        <v>1256</v>
      </c>
      <c r="W229" s="81">
        <f t="shared" ref="W229" si="754">COUNTIF($M$226:$M$229,V229)*$D$27</f>
        <v>0</v>
      </c>
      <c r="X229" s="64"/>
      <c r="Y229" s="80" t="s">
        <v>1256</v>
      </c>
      <c r="Z229" s="81">
        <f t="shared" ref="Z229" si="755">COUNTIF($M$226:$M$229,Y229)*$D$27</f>
        <v>0</v>
      </c>
      <c r="AA229" s="64"/>
      <c r="AB229" s="80" t="s">
        <v>1256</v>
      </c>
      <c r="AC229" s="81">
        <f>COUNTIF($M$226:$M$229,AB229)*$D$27</f>
        <v>0</v>
      </c>
      <c r="AD229" s="64"/>
      <c r="AE229" s="80" t="s">
        <v>1256</v>
      </c>
      <c r="AF229" s="81">
        <f>COUNTIF($M$226:$M$229,AE229)*$D$27</f>
        <v>0</v>
      </c>
      <c r="AG229" s="64"/>
      <c r="AH229" s="80" t="s">
        <v>1256</v>
      </c>
      <c r="AI229" s="81">
        <f t="shared" ref="AI229" si="756">COUNTIF($M$226:$M$229,AH229)*$D$27</f>
        <v>0</v>
      </c>
      <c r="AJ229" s="64"/>
      <c r="AK229" s="80" t="s">
        <v>1320</v>
      </c>
      <c r="AL229" s="81">
        <f t="shared" ref="AL229" si="757">COUNTIF($M$226:$M$229,AK229)*$D$27</f>
        <v>0</v>
      </c>
      <c r="AM229" s="64"/>
      <c r="AN229" s="80"/>
      <c r="AO229" s="81">
        <f t="shared" ref="AO229" si="758">COUNTIF($M$226:$M$229,AN229)*$D$27</f>
        <v>0</v>
      </c>
      <c r="AP229" s="64"/>
      <c r="AQ229" s="80"/>
      <c r="AR229" s="81">
        <f t="shared" ref="AR229" si="759">COUNTIF($M$226:$M$229,AQ229)*$D$27</f>
        <v>0</v>
      </c>
      <c r="AS229" s="64"/>
      <c r="AT229" s="80"/>
      <c r="AU229" s="81">
        <f t="shared" ref="AU229" si="760">COUNTIF($M$226:$M$229,AT229)*$D$27</f>
        <v>0</v>
      </c>
      <c r="AV229" s="64"/>
      <c r="AW229" s="80"/>
      <c r="AX229" s="81">
        <f t="shared" ref="AX229" si="761">COUNTIF($M$226:$M$229,AW229)*$D$27</f>
        <v>0</v>
      </c>
      <c r="AY229" s="64"/>
      <c r="AZ229" s="80"/>
      <c r="BA229" s="81">
        <f t="shared" ref="BA229" si="762">COUNTIF($M$226:$M$229,AZ229)*$D$27</f>
        <v>0</v>
      </c>
      <c r="BB229" s="64"/>
      <c r="BC229" s="80"/>
      <c r="BD229" s="81">
        <f t="shared" ref="BD229" si="763">COUNTIF($M$226:$M$229,BC229)*$D$27</f>
        <v>0</v>
      </c>
      <c r="BE229" s="64"/>
      <c r="BF229" s="80"/>
      <c r="BG229" s="81">
        <f t="shared" ref="BG229" si="764">COUNTIF($M$226:$M$229,BF229)*$D$27</f>
        <v>0</v>
      </c>
      <c r="BH229" s="64"/>
      <c r="BI229" s="80"/>
      <c r="BJ229" s="81">
        <f t="shared" ref="BJ229" si="765">COUNTIF($M$226:$M$229,BI229)*$D$27</f>
        <v>0</v>
      </c>
      <c r="BK229" s="64"/>
      <c r="BL229" s="80"/>
      <c r="BM229" s="81">
        <f t="shared" ref="BM229" si="766">COUNTIF($M$226:$M$229,BL229)*$D$27</f>
        <v>0</v>
      </c>
      <c r="BN229" s="64"/>
      <c r="BO229" s="80"/>
      <c r="BP229" s="81">
        <f t="shared" ref="BP229" si="767">COUNTIF($M$226:$M$229,BO229)*$D$27</f>
        <v>0</v>
      </c>
      <c r="BQ229" s="64"/>
      <c r="BR229" s="80"/>
      <c r="BS229" s="81">
        <f t="shared" ref="BS229" si="768">COUNTIF($M$226:$M$229,BR229)*$D$27</f>
        <v>0</v>
      </c>
      <c r="BT229" s="64"/>
      <c r="BU229" s="80"/>
      <c r="BV229" s="81">
        <f t="shared" ref="BV229" si="769">COUNTIF($M$226:$M$229,BU229)*$D$27</f>
        <v>0</v>
      </c>
      <c r="BW229" s="64"/>
      <c r="BX229" s="80"/>
      <c r="BY229" s="81">
        <f t="shared" ref="BY229" si="770">COUNTIF($M$226:$M$229,BX229)*$D$27</f>
        <v>0</v>
      </c>
      <c r="BZ229" s="64"/>
      <c r="CA229" s="80"/>
      <c r="CB229" s="81">
        <f t="shared" ref="CB229" si="771">COUNTIF($M$226:$M$229,CA229)*$D$27</f>
        <v>0</v>
      </c>
      <c r="CC229" s="64"/>
      <c r="CD229" s="80"/>
      <c r="CE229" s="81">
        <f t="shared" ref="CE229" si="772">COUNTIF($M$226:$M$229,CD229)*$D$27</f>
        <v>0</v>
      </c>
      <c r="CF229" s="64"/>
      <c r="CG229" s="80"/>
      <c r="CH229" s="81">
        <f t="shared" ref="CH229" si="773">COUNTIF($M$226:$M$229,CG229)*$D$27</f>
        <v>0</v>
      </c>
      <c r="CI229" s="64"/>
      <c r="CJ229" s="80"/>
      <c r="CK229" s="81">
        <f t="shared" ref="CK229" si="774">COUNTIF($M$226:$M$229,CJ229)*$D$27</f>
        <v>0</v>
      </c>
      <c r="CL229" s="64"/>
      <c r="CM229" s="80"/>
      <c r="CN229" s="81">
        <f t="shared" ref="CN229" si="775">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48</v>
      </c>
      <c r="N230" s="25"/>
      <c r="O230" s="25"/>
      <c r="P230" s="25"/>
      <c r="Q230" s="25"/>
      <c r="R230" s="49"/>
      <c r="S230" s="84"/>
      <c r="T230" s="71">
        <f>SUM(T226:T229)</f>
        <v>0</v>
      </c>
      <c r="U230" s="65"/>
      <c r="V230" s="84"/>
      <c r="W230" s="71">
        <f t="shared" ref="W230" si="776">SUM(W226:W229)</f>
        <v>0</v>
      </c>
      <c r="X230" s="65"/>
      <c r="Y230" s="84"/>
      <c r="Z230" s="71">
        <f t="shared" ref="Z230" si="777">SUM(Z226:Z229)</f>
        <v>0</v>
      </c>
      <c r="AA230" s="65"/>
      <c r="AB230" s="84"/>
      <c r="AC230" s="71">
        <f t="shared" ref="AC230" si="778">SUM(AC226:AC229)</f>
        <v>0</v>
      </c>
      <c r="AD230" s="65"/>
      <c r="AE230" s="84"/>
      <c r="AF230" s="71">
        <f t="shared" ref="AF230" si="779">SUM(AF226:AF229)</f>
        <v>0</v>
      </c>
      <c r="AG230" s="65"/>
      <c r="AH230" s="84"/>
      <c r="AI230" s="71">
        <f t="shared" ref="AI230" si="780">SUM(AI226:AI229)</f>
        <v>0</v>
      </c>
      <c r="AJ230" s="65"/>
      <c r="AK230" s="84"/>
      <c r="AL230" s="71">
        <f t="shared" ref="AL230" si="781">SUM(AL226:AL229)</f>
        <v>0</v>
      </c>
      <c r="AM230" s="65"/>
      <c r="AN230" s="84"/>
      <c r="AO230" s="71">
        <f t="shared" ref="AO230" si="782">SUM(AO226:AO229)</f>
        <v>0</v>
      </c>
      <c r="AP230" s="65"/>
      <c r="AQ230" s="84"/>
      <c r="AR230" s="71">
        <f t="shared" ref="AR230" si="783">SUM(AR226:AR229)</f>
        <v>0</v>
      </c>
      <c r="AS230" s="65"/>
      <c r="AT230" s="84"/>
      <c r="AU230" s="71">
        <f t="shared" ref="AU230" si="784">SUM(AU226:AU229)</f>
        <v>0</v>
      </c>
      <c r="AV230" s="65"/>
      <c r="AW230" s="84"/>
      <c r="AX230" s="71">
        <f t="shared" ref="AX230" si="785">SUM(AX226:AX229)</f>
        <v>0</v>
      </c>
      <c r="AY230" s="65"/>
      <c r="AZ230" s="84"/>
      <c r="BA230" s="71">
        <f t="shared" ref="BA230" si="786">SUM(BA226:BA229)</f>
        <v>0</v>
      </c>
      <c r="BB230" s="65"/>
      <c r="BC230" s="84"/>
      <c r="BD230" s="71">
        <f t="shared" ref="BD230" si="787">SUM(BD226:BD229)</f>
        <v>0</v>
      </c>
      <c r="BE230" s="65"/>
      <c r="BF230" s="84"/>
      <c r="BG230" s="71">
        <f t="shared" ref="BG230" si="788">SUM(BG226:BG229)</f>
        <v>0</v>
      </c>
      <c r="BH230" s="65"/>
      <c r="BI230" s="84"/>
      <c r="BJ230" s="71">
        <f t="shared" ref="BJ230" si="789">SUM(BJ226:BJ229)</f>
        <v>0</v>
      </c>
      <c r="BK230" s="65"/>
      <c r="BL230" s="84"/>
      <c r="BM230" s="71">
        <f t="shared" ref="BM230" si="790">SUM(BM226:BM229)</f>
        <v>0</v>
      </c>
      <c r="BN230" s="65"/>
      <c r="BO230" s="84"/>
      <c r="BP230" s="71">
        <f t="shared" ref="BP230" si="791">SUM(BP226:BP229)</f>
        <v>0</v>
      </c>
      <c r="BQ230" s="65"/>
      <c r="BR230" s="84"/>
      <c r="BS230" s="71">
        <f t="shared" ref="BS230" si="792">SUM(BS226:BS229)</f>
        <v>0</v>
      </c>
      <c r="BT230" s="65"/>
      <c r="BU230" s="84"/>
      <c r="BV230" s="71">
        <f t="shared" ref="BV230" si="793">SUM(BV226:BV229)</f>
        <v>0</v>
      </c>
      <c r="BW230" s="65"/>
      <c r="BX230" s="84"/>
      <c r="BY230" s="71">
        <f t="shared" ref="BY230" si="794">SUM(BY226:BY229)</f>
        <v>0</v>
      </c>
      <c r="BZ230" s="65"/>
      <c r="CA230" s="84"/>
      <c r="CB230" s="71">
        <f t="shared" ref="CB230" si="795">SUM(CB226:CB229)</f>
        <v>0</v>
      </c>
      <c r="CC230" s="65"/>
      <c r="CD230" s="84"/>
      <c r="CE230" s="71">
        <f t="shared" ref="CE230" si="796">SUM(CE226:CE229)</f>
        <v>0</v>
      </c>
      <c r="CF230" s="65"/>
      <c r="CG230" s="84"/>
      <c r="CH230" s="71">
        <f t="shared" ref="CH230" si="797">SUM(CH226:CH229)</f>
        <v>0</v>
      </c>
      <c r="CI230" s="65"/>
      <c r="CJ230" s="84"/>
      <c r="CK230" s="71">
        <f t="shared" ref="CK230" si="798">SUM(CK226:CK229)</f>
        <v>0</v>
      </c>
      <c r="CL230" s="65"/>
      <c r="CM230" s="84"/>
      <c r="CN230" s="71">
        <f t="shared" ref="CN230" si="799">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0</v>
      </c>
      <c r="G232" s="407">
        <f ca="1">VLOOKUP(H232,Equipos!$Q$1:$R$25,2,0)</f>
        <v>23</v>
      </c>
      <c r="H232" s="65" t="str">
        <f>Idiomas!$D$263</f>
        <v>Semifinales</v>
      </c>
      <c r="I232" s="43">
        <v>1</v>
      </c>
      <c r="J232" s="847" t="s">
        <v>35</v>
      </c>
      <c r="K232" s="53" t="str">
        <f>CONCATENATE(WORLDCUP!AA138,"-",WORLDCUP!AF138)</f>
        <v>W97-W98</v>
      </c>
      <c r="L232" s="53" t="str">
        <f>IF(OR(WORLDCUP!AC138="",WORLDCUP!AD138=""),"PD",IF(WORLDCUP!AC138&gt;WORLDCUP!AD138,1,IF(WORLDCUP!AC138&lt;WORLDCUP!AD138,2,0)))</f>
        <v>PD</v>
      </c>
      <c r="M232" s="55" t="str">
        <f t="shared" ref="M232:M233" si="800">IF(L232="PD","-",N232&amp;"-"&amp;O232)</f>
        <v>-</v>
      </c>
      <c r="N232" s="25">
        <f>WORLDCUP!AC138</f>
        <v>0</v>
      </c>
      <c r="O232" s="25">
        <f>WORLDCUP!AD138</f>
        <v>0</v>
      </c>
      <c r="P232" s="25">
        <f>+N232-O232</f>
        <v>0</v>
      </c>
      <c r="Q232" s="25">
        <f>+A232-B232</f>
        <v>0</v>
      </c>
      <c r="R232" s="110"/>
      <c r="S232" s="76" t="s">
        <v>2031</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2007</v>
      </c>
      <c r="W232" s="77">
        <f t="shared" ref="W232" si="801">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2087</v>
      </c>
      <c r="Z232" s="77">
        <f t="shared" ref="Z232" si="802">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2007</v>
      </c>
      <c r="AC232" s="77">
        <f>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2064</v>
      </c>
      <c r="AF232" s="77">
        <f>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2031</v>
      </c>
      <c r="AI232" s="77">
        <f t="shared" ref="AI232" si="8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2007</v>
      </c>
      <c r="AL232" s="77">
        <f t="shared" ref="AL232" si="8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0</v>
      </c>
      <c r="G233" s="407">
        <f ca="1">VLOOKUP(H233,Equipos!$Q$1:$R$25,2,0)</f>
        <v>23</v>
      </c>
      <c r="H233" s="65" t="str">
        <f>Idiomas!$D$263</f>
        <v>Semifinales</v>
      </c>
      <c r="I233" s="43">
        <v>1</v>
      </c>
      <c r="J233" s="847"/>
      <c r="K233" s="56" t="str">
        <f>CONCATENATE(WORLDCUP!AA139,"-",WORLDCUP!AF139)</f>
        <v>W99-W100</v>
      </c>
      <c r="L233" s="53" t="str">
        <f>IF(OR(WORLDCUP!AC139="",WORLDCUP!AD139=""),"PD",IF(WORLDCUP!AC139&gt;WORLDCUP!AD139,1,IF(WORLDCUP!AC139&lt;WORLDCUP!AD139,2,0)))</f>
        <v>PD</v>
      </c>
      <c r="M233" s="55" t="str">
        <f t="shared" si="800"/>
        <v>-</v>
      </c>
      <c r="N233" s="25">
        <f>WORLDCUP!AC139</f>
        <v>0</v>
      </c>
      <c r="O233" s="25">
        <f>WORLDCUP!AD139</f>
        <v>0</v>
      </c>
      <c r="P233" s="25">
        <f>+N233-O233</f>
        <v>0</v>
      </c>
      <c r="Q233" s="25">
        <f>+A233-B233</f>
        <v>0</v>
      </c>
      <c r="R233" s="110"/>
      <c r="S233" s="80" t="s">
        <v>2032</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2047</v>
      </c>
      <c r="W233" s="81">
        <f t="shared" ref="W233" si="82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2088</v>
      </c>
      <c r="Z233" s="81">
        <f t="shared" ref="Z233" si="82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2105</v>
      </c>
      <c r="AC233" s="81">
        <f>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2065</v>
      </c>
      <c r="AF233" s="81">
        <f>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2032</v>
      </c>
      <c r="AI233" s="81">
        <f t="shared" ref="AI233" si="825">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2008</v>
      </c>
      <c r="AL233" s="81">
        <f t="shared" ref="AL233" si="826">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27">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28">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29">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30">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31">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32">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33">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34">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35">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36">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37">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38">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39">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40">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41">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42">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43">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44">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0</v>
      </c>
      <c r="N234" s="25"/>
      <c r="O234" s="25"/>
      <c r="P234" s="25"/>
      <c r="Q234" s="25"/>
      <c r="R234" s="17"/>
      <c r="S234" s="84"/>
      <c r="T234" s="71">
        <f>SUM(T232:T233)</f>
        <v>0</v>
      </c>
      <c r="U234" s="49"/>
      <c r="V234" s="84"/>
      <c r="W234" s="71">
        <f t="shared" ref="W234" si="845">SUM(W232:W233)</f>
        <v>0</v>
      </c>
      <c r="X234" s="49"/>
      <c r="Y234" s="84"/>
      <c r="Z234" s="71">
        <f t="shared" ref="Z234" si="846">SUM(Z232:Z233)</f>
        <v>0</v>
      </c>
      <c r="AA234" s="49"/>
      <c r="AB234" s="84"/>
      <c r="AC234" s="71">
        <f t="shared" ref="AC234" si="847">SUM(AC232:AC233)</f>
        <v>0</v>
      </c>
      <c r="AD234" s="111"/>
      <c r="AE234" s="84"/>
      <c r="AF234" s="71">
        <f t="shared" ref="AF234" si="848">SUM(AF232:AF233)</f>
        <v>0</v>
      </c>
      <c r="AG234" s="49"/>
      <c r="AH234" s="84"/>
      <c r="AI234" s="71">
        <f t="shared" ref="AI234" si="849">SUM(AI232:AI233)</f>
        <v>0</v>
      </c>
      <c r="AJ234" s="49"/>
      <c r="AK234" s="84"/>
      <c r="AL234" s="71">
        <f t="shared" ref="AL234" si="850">SUM(AL232:AL233)</f>
        <v>0</v>
      </c>
      <c r="AM234" s="49"/>
      <c r="AN234" s="84"/>
      <c r="AO234" s="71">
        <f t="shared" ref="AO234" si="851">SUM(AO232:AO233)</f>
        <v>0</v>
      </c>
      <c r="AP234" s="49"/>
      <c r="AQ234" s="84"/>
      <c r="AR234" s="71">
        <f t="shared" ref="AR234" si="852">SUM(AR232:AR233)</f>
        <v>0</v>
      </c>
      <c r="AS234" s="49"/>
      <c r="AT234" s="84"/>
      <c r="AU234" s="71">
        <f t="shared" ref="AU234" si="853">SUM(AU232:AU233)</f>
        <v>0</v>
      </c>
      <c r="AV234" s="49"/>
      <c r="AW234" s="84"/>
      <c r="AX234" s="71">
        <f t="shared" ref="AX234" si="854">SUM(AX232:AX233)</f>
        <v>0</v>
      </c>
      <c r="AY234" s="49"/>
      <c r="AZ234" s="84"/>
      <c r="BA234" s="71">
        <f t="shared" ref="BA234" si="855">SUM(BA232:BA233)</f>
        <v>0</v>
      </c>
      <c r="BB234" s="49"/>
      <c r="BC234" s="84"/>
      <c r="BD234" s="71">
        <f t="shared" ref="BD234" si="856">SUM(BD232:BD233)</f>
        <v>0</v>
      </c>
      <c r="BE234" s="49"/>
      <c r="BF234" s="84"/>
      <c r="BG234" s="71">
        <f t="shared" ref="BG234" si="857">SUM(BG232:BG233)</f>
        <v>0</v>
      </c>
      <c r="BH234" s="49"/>
      <c r="BI234" s="84"/>
      <c r="BJ234" s="71">
        <f t="shared" ref="BJ234" si="858">SUM(BJ232:BJ233)</f>
        <v>0</v>
      </c>
      <c r="BK234" s="49"/>
      <c r="BL234" s="84"/>
      <c r="BM234" s="71">
        <f t="shared" ref="BM234" si="859">SUM(BM232:BM233)</f>
        <v>0</v>
      </c>
      <c r="BN234" s="49"/>
      <c r="BO234" s="84"/>
      <c r="BP234" s="71">
        <f t="shared" ref="BP234" si="860">SUM(BP232:BP233)</f>
        <v>0</v>
      </c>
      <c r="BQ234" s="49"/>
      <c r="BR234" s="84"/>
      <c r="BS234" s="71">
        <f t="shared" ref="BS234" si="861">SUM(BS232:BS233)</f>
        <v>0</v>
      </c>
      <c r="BT234" s="49"/>
      <c r="BU234" s="84"/>
      <c r="BV234" s="71">
        <f t="shared" ref="BV234" si="862">SUM(BV232:BV233)</f>
        <v>0</v>
      </c>
      <c r="BW234" s="49"/>
      <c r="BX234" s="84"/>
      <c r="BY234" s="71">
        <f t="shared" ref="BY234" si="863">SUM(BY232:BY233)</f>
        <v>0</v>
      </c>
      <c r="BZ234" s="49"/>
      <c r="CA234" s="84"/>
      <c r="CB234" s="71">
        <f t="shared" ref="CB234" si="864">SUM(CB232:CB233)</f>
        <v>0</v>
      </c>
      <c r="CC234" s="49"/>
      <c r="CD234" s="84"/>
      <c r="CE234" s="71">
        <f t="shared" ref="CE234" si="865">SUM(CE232:CE233)</f>
        <v>0</v>
      </c>
      <c r="CF234" s="49"/>
      <c r="CG234" s="84"/>
      <c r="CH234" s="71">
        <f t="shared" ref="CH234" si="866">SUM(CH232:CH233)</f>
        <v>0</v>
      </c>
      <c r="CI234" s="49"/>
      <c r="CJ234" s="84"/>
      <c r="CK234" s="71">
        <f t="shared" ref="CK234" si="867">SUM(CK232:CK233)</f>
        <v>0</v>
      </c>
      <c r="CL234" s="49"/>
      <c r="CM234" s="84"/>
      <c r="CN234" s="71">
        <f t="shared" ref="CN234" si="868">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12</v>
      </c>
      <c r="G236" s="407">
        <f ca="1">VLOOKUP(H236,Equipos!$Q$1:$R$25,2,0)</f>
        <v>23</v>
      </c>
      <c r="H236" s="65" t="str">
        <f>Idiomas!$D$263</f>
        <v>Semifinales</v>
      </c>
      <c r="I236" s="50"/>
      <c r="J236" s="847" t="s">
        <v>493</v>
      </c>
      <c r="K236" s="53" t="str">
        <f>Idiomas!D202&amp;"-"&amp;ROWS($L$236:L236)</f>
        <v>3º y 4º puesto-1</v>
      </c>
      <c r="L236" s="53"/>
      <c r="M236" s="55" t="str">
        <f>WORLDCUP!AA143</f>
        <v>L101</v>
      </c>
      <c r="N236" s="25"/>
      <c r="O236" s="25"/>
      <c r="P236" s="25"/>
      <c r="Q236" s="25"/>
      <c r="R236" s="17"/>
      <c r="S236" s="76" t="s">
        <v>74</v>
      </c>
      <c r="T236" s="77">
        <f>COUNTIF($M$236:$M$237,S236)*$D$31</f>
        <v>0</v>
      </c>
      <c r="U236" s="110"/>
      <c r="V236" s="76" t="s">
        <v>38</v>
      </c>
      <c r="W236" s="77">
        <f t="shared" ref="W236" si="869">COUNTIF($M$236:$M$237,V236)*$D$31</f>
        <v>0</v>
      </c>
      <c r="X236" s="110"/>
      <c r="Y236" s="76" t="s">
        <v>77</v>
      </c>
      <c r="Z236" s="77">
        <f t="shared" ref="Z236" si="870">COUNTIF($M$236:$M$237,Y236)*$D$31</f>
        <v>0</v>
      </c>
      <c r="AA236" s="110"/>
      <c r="AB236" s="76" t="s">
        <v>38</v>
      </c>
      <c r="AC236" s="77">
        <f>COUNTIF($M$236:$M$237,AB236)*$D$31</f>
        <v>0</v>
      </c>
      <c r="AD236" s="110"/>
      <c r="AE236" s="76" t="s">
        <v>1321</v>
      </c>
      <c r="AF236" s="77">
        <f>COUNTIF($M$236:$M$237,AE236)*$D$31</f>
        <v>0</v>
      </c>
      <c r="AG236" s="110"/>
      <c r="AH236" s="76" t="s">
        <v>74</v>
      </c>
      <c r="AI236" s="77">
        <f t="shared" ref="AI236" si="871">COUNTIF($M$236:$M$237,AH236)*$D$31</f>
        <v>0</v>
      </c>
      <c r="AJ236" s="110"/>
      <c r="AK236" s="76" t="s">
        <v>38</v>
      </c>
      <c r="AL236" s="77">
        <f t="shared" ref="AL236" si="872">COUNTIF($M$236:$M$237,AK236)*$D$31</f>
        <v>0</v>
      </c>
      <c r="AM236" s="110"/>
      <c r="AN236" s="76"/>
      <c r="AO236" s="77">
        <f t="shared" ref="AO236" si="873">COUNTIF($M$236:$M$237,AN236)*$D$31</f>
        <v>0</v>
      </c>
      <c r="AP236" s="110"/>
      <c r="AQ236" s="76"/>
      <c r="AR236" s="77">
        <f t="shared" ref="AR236" si="874">COUNTIF($M$236:$M$237,AQ236)*$D$31</f>
        <v>0</v>
      </c>
      <c r="AS236" s="110"/>
      <c r="AT236" s="76"/>
      <c r="AU236" s="77">
        <f t="shared" ref="AU236" si="875">COUNTIF($M$236:$M$237,AT236)*$D$31</f>
        <v>0</v>
      </c>
      <c r="AV236" s="110"/>
      <c r="AW236" s="76"/>
      <c r="AX236" s="77">
        <f t="shared" ref="AX236" si="876">COUNTIF($M$236:$M$237,AW236)*$D$31</f>
        <v>0</v>
      </c>
      <c r="AY236" s="110"/>
      <c r="AZ236" s="76"/>
      <c r="BA236" s="77">
        <f t="shared" ref="BA236" si="877">COUNTIF($M$236:$M$237,AZ236)*$D$31</f>
        <v>0</v>
      </c>
      <c r="BB236" s="110"/>
      <c r="BC236" s="76"/>
      <c r="BD236" s="77">
        <f t="shared" ref="BD236" si="878">COUNTIF($M$236:$M$237,BC236)*$D$31</f>
        <v>0</v>
      </c>
      <c r="BE236" s="110"/>
      <c r="BF236" s="76"/>
      <c r="BG236" s="77">
        <f t="shared" ref="BG236" si="879">COUNTIF($M$236:$M$237,BF236)*$D$31</f>
        <v>0</v>
      </c>
      <c r="BH236" s="110"/>
      <c r="BI236" s="76"/>
      <c r="BJ236" s="77">
        <f t="shared" ref="BJ236" si="880">COUNTIF($M$236:$M$237,BI236)*$D$31</f>
        <v>0</v>
      </c>
      <c r="BK236" s="110"/>
      <c r="BL236" s="76"/>
      <c r="BM236" s="77">
        <f t="shared" ref="BM236" si="881">COUNTIF($M$236:$M$237,BL236)*$D$31</f>
        <v>0</v>
      </c>
      <c r="BN236" s="110"/>
      <c r="BO236" s="76"/>
      <c r="BP236" s="77">
        <f t="shared" ref="BP236" si="882">COUNTIF($M$236:$M$237,BO236)*$D$31</f>
        <v>0</v>
      </c>
      <c r="BQ236" s="110"/>
      <c r="BR236" s="76"/>
      <c r="BS236" s="77">
        <f t="shared" ref="BS236" si="883">COUNTIF($M$236:$M$237,BR236)*$D$31</f>
        <v>0</v>
      </c>
      <c r="BT236" s="110"/>
      <c r="BU236" s="76"/>
      <c r="BV236" s="77">
        <f t="shared" ref="BV236" si="884">COUNTIF($M$236:$M$237,BU236)*$D$31</f>
        <v>0</v>
      </c>
      <c r="BW236" s="110"/>
      <c r="BX236" s="76"/>
      <c r="BY236" s="77">
        <f t="shared" ref="BY236" si="885">COUNTIF($M$236:$M$237,BX236)*$D$31</f>
        <v>0</v>
      </c>
      <c r="BZ236" s="110"/>
      <c r="CA236" s="76"/>
      <c r="CB236" s="77">
        <f t="shared" ref="CB236" si="886">COUNTIF($M$236:$M$237,CA236)*$D$31</f>
        <v>0</v>
      </c>
      <c r="CC236" s="110"/>
      <c r="CD236" s="76"/>
      <c r="CE236" s="77">
        <f t="shared" ref="CE236" si="887">COUNTIF($M$236:$M$237,CD236)*$D$31</f>
        <v>0</v>
      </c>
      <c r="CF236" s="110"/>
      <c r="CG236" s="76"/>
      <c r="CH236" s="77">
        <f t="shared" ref="CH236" si="888">COUNTIF($M$236:$M$237,CG236)*$D$31</f>
        <v>0</v>
      </c>
      <c r="CI236" s="110"/>
      <c r="CJ236" s="76"/>
      <c r="CK236" s="77">
        <f t="shared" ref="CK236" si="889">COUNTIF($M$236:$M$237,CJ236)*$D$31</f>
        <v>0</v>
      </c>
      <c r="CL236" s="110"/>
      <c r="CM236" s="76"/>
      <c r="CN236" s="77">
        <f t="shared" ref="CN236" si="890">COUNTIF($M$236:$M$237,CM236)*$D$31</f>
        <v>0</v>
      </c>
      <c r="CO236" s="110"/>
      <c r="CP236" s="110"/>
    </row>
    <row r="237" spans="1:94">
      <c r="A237" s="25"/>
      <c r="B237" s="25"/>
      <c r="C237" s="25"/>
      <c r="D237" s="25"/>
      <c r="E237" s="25"/>
      <c r="F237" s="407">
        <f>$D$31</f>
        <v>12</v>
      </c>
      <c r="G237" s="407">
        <f ca="1">VLOOKUP(H237,Equipos!$Q$1:$R$25,2,0)</f>
        <v>23</v>
      </c>
      <c r="H237" s="65" t="str">
        <f>Idiomas!$D$263</f>
        <v>Semifinales</v>
      </c>
      <c r="I237" s="50"/>
      <c r="J237" s="847"/>
      <c r="K237" s="115" t="str">
        <f>Idiomas!D203&amp;"-"&amp;ROWS($L$236:L237)</f>
        <v>Finalista-2</v>
      </c>
      <c r="L237" s="115"/>
      <c r="M237" s="116" t="str">
        <f>WORLDCUP!AF143</f>
        <v>L102</v>
      </c>
      <c r="N237" s="25"/>
      <c r="O237" s="25"/>
      <c r="P237" s="25"/>
      <c r="Q237" s="25"/>
      <c r="R237" s="17"/>
      <c r="S237" s="80" t="s">
        <v>76</v>
      </c>
      <c r="T237" s="81">
        <f>COUNTIF($M$236:$M$237,S237)*$D$31</f>
        <v>0</v>
      </c>
      <c r="U237" s="110"/>
      <c r="V237" s="80" t="s">
        <v>1258</v>
      </c>
      <c r="W237" s="81">
        <f t="shared" ref="W237" si="891">COUNTIF($M$236:$M$237,V237)*$D$31</f>
        <v>0</v>
      </c>
      <c r="X237" s="110"/>
      <c r="Y237" s="80" t="s">
        <v>1256</v>
      </c>
      <c r="Z237" s="81">
        <f t="shared" ref="Z237" si="892">COUNTIF($M$236:$M$237,Y237)*$D$31</f>
        <v>0</v>
      </c>
      <c r="AA237" s="110"/>
      <c r="AB237" s="80" t="s">
        <v>76</v>
      </c>
      <c r="AC237" s="81">
        <f>COUNTIF($M$236:$M$237,AB237)*$D$31</f>
        <v>0</v>
      </c>
      <c r="AD237" s="110"/>
      <c r="AE237" s="80" t="s">
        <v>135</v>
      </c>
      <c r="AF237" s="81">
        <f>COUNTIF($M$236:$M$237,AE237)*$D$31</f>
        <v>0</v>
      </c>
      <c r="AG237" s="110"/>
      <c r="AH237" s="80" t="s">
        <v>76</v>
      </c>
      <c r="AI237" s="81">
        <f t="shared" ref="AI237" si="893">COUNTIF($M$236:$M$237,AH237)*$D$31</f>
        <v>0</v>
      </c>
      <c r="AJ237" s="110"/>
      <c r="AK237" s="80" t="s">
        <v>1320</v>
      </c>
      <c r="AL237" s="81">
        <f t="shared" ref="AL237" si="894">COUNTIF($M$236:$M$237,AK237)*$D$31</f>
        <v>0</v>
      </c>
      <c r="AM237" s="110"/>
      <c r="AN237" s="80"/>
      <c r="AO237" s="81">
        <f t="shared" ref="AO237" si="895">COUNTIF($M$236:$M$237,AN237)*$D$31</f>
        <v>0</v>
      </c>
      <c r="AP237" s="110"/>
      <c r="AQ237" s="80"/>
      <c r="AR237" s="81">
        <f t="shared" ref="AR237" si="896">COUNTIF($M$236:$M$237,AQ237)*$D$31</f>
        <v>0</v>
      </c>
      <c r="AS237" s="110"/>
      <c r="AT237" s="80"/>
      <c r="AU237" s="81">
        <f t="shared" ref="AU237" si="897">COUNTIF($M$236:$M$237,AT237)*$D$31</f>
        <v>0</v>
      </c>
      <c r="AV237" s="110"/>
      <c r="AW237" s="80"/>
      <c r="AX237" s="81">
        <f t="shared" ref="AX237" si="898">COUNTIF($M$236:$M$237,AW237)*$D$31</f>
        <v>0</v>
      </c>
      <c r="AY237" s="110"/>
      <c r="AZ237" s="80"/>
      <c r="BA237" s="81">
        <f t="shared" ref="BA237" si="899">COUNTIF($M$236:$M$237,AZ237)*$D$31</f>
        <v>0</v>
      </c>
      <c r="BB237" s="110"/>
      <c r="BC237" s="80"/>
      <c r="BD237" s="81">
        <f t="shared" ref="BD237" si="900">COUNTIF($M$236:$M$237,BC237)*$D$31</f>
        <v>0</v>
      </c>
      <c r="BE237" s="110"/>
      <c r="BF237" s="80"/>
      <c r="BG237" s="81">
        <f t="shared" ref="BG237" si="901">COUNTIF($M$236:$M$237,BF237)*$D$31</f>
        <v>0</v>
      </c>
      <c r="BH237" s="110"/>
      <c r="BI237" s="80"/>
      <c r="BJ237" s="81">
        <f t="shared" ref="BJ237" si="902">COUNTIF($M$236:$M$237,BI237)*$D$31</f>
        <v>0</v>
      </c>
      <c r="BK237" s="110"/>
      <c r="BL237" s="80"/>
      <c r="BM237" s="81">
        <f t="shared" ref="BM237" si="903">COUNTIF($M$236:$M$237,BL237)*$D$31</f>
        <v>0</v>
      </c>
      <c r="BN237" s="110"/>
      <c r="BO237" s="80"/>
      <c r="BP237" s="81">
        <f t="shared" ref="BP237" si="904">COUNTIF($M$236:$M$237,BO237)*$D$31</f>
        <v>0</v>
      </c>
      <c r="BQ237" s="110"/>
      <c r="BR237" s="80"/>
      <c r="BS237" s="81">
        <f t="shared" ref="BS237" si="905">COUNTIF($M$236:$M$237,BR237)*$D$31</f>
        <v>0</v>
      </c>
      <c r="BT237" s="110"/>
      <c r="BU237" s="80"/>
      <c r="BV237" s="81">
        <f t="shared" ref="BV237" si="906">COUNTIF($M$236:$M$237,BU237)*$D$31</f>
        <v>0</v>
      </c>
      <c r="BW237" s="110"/>
      <c r="BX237" s="80"/>
      <c r="BY237" s="81">
        <f t="shared" ref="BY237" si="907">COUNTIF($M$236:$M$237,BX237)*$D$31</f>
        <v>0</v>
      </c>
      <c r="BZ237" s="110"/>
      <c r="CA237" s="80"/>
      <c r="CB237" s="81">
        <f t="shared" ref="CB237" si="908">COUNTIF($M$236:$M$237,CA237)*$D$31</f>
        <v>0</v>
      </c>
      <c r="CC237" s="110"/>
      <c r="CD237" s="80"/>
      <c r="CE237" s="81">
        <f t="shared" ref="CE237" si="909">COUNTIF($M$236:$M$237,CD237)*$D$31</f>
        <v>0</v>
      </c>
      <c r="CF237" s="110"/>
      <c r="CG237" s="80"/>
      <c r="CH237" s="81">
        <f t="shared" ref="CH237" si="910">COUNTIF($M$236:$M$237,CG237)*$D$31</f>
        <v>0</v>
      </c>
      <c r="CI237" s="110"/>
      <c r="CJ237" s="80"/>
      <c r="CK237" s="81">
        <f t="shared" ref="CK237" si="911">COUNTIF($M$236:$M$237,CJ237)*$D$31</f>
        <v>0</v>
      </c>
      <c r="CL237" s="110"/>
      <c r="CM237" s="80"/>
      <c r="CN237" s="81">
        <f t="shared" ref="CN237" si="912">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24</v>
      </c>
      <c r="N238" s="25"/>
      <c r="O238" s="25"/>
      <c r="P238" s="25"/>
      <c r="Q238" s="25"/>
      <c r="R238" s="17"/>
      <c r="S238" s="84"/>
      <c r="T238" s="71">
        <f>SUM(T236:T237)</f>
        <v>0</v>
      </c>
      <c r="U238" s="49"/>
      <c r="V238" s="84"/>
      <c r="W238" s="71">
        <f t="shared" ref="W238" si="913">SUM(W236:W237)</f>
        <v>0</v>
      </c>
      <c r="X238" s="49"/>
      <c r="Y238" s="84"/>
      <c r="Z238" s="71">
        <f t="shared" ref="Z238" si="914">SUM(Z236:Z237)</f>
        <v>0</v>
      </c>
      <c r="AA238" s="49"/>
      <c r="AB238" s="84"/>
      <c r="AC238" s="71">
        <f t="shared" ref="AC238" si="915">SUM(AC236:AC237)</f>
        <v>0</v>
      </c>
      <c r="AD238" s="49"/>
      <c r="AE238" s="84"/>
      <c r="AF238" s="71">
        <f t="shared" ref="AF238" si="916">SUM(AF236:AF237)</f>
        <v>0</v>
      </c>
      <c r="AG238" s="49"/>
      <c r="AH238" s="84"/>
      <c r="AI238" s="71">
        <f t="shared" ref="AI238" si="917">SUM(AI236:AI237)</f>
        <v>0</v>
      </c>
      <c r="AJ238" s="49"/>
      <c r="AK238" s="84"/>
      <c r="AL238" s="71">
        <f t="shared" ref="AL238" si="918">SUM(AL236:AL237)</f>
        <v>0</v>
      </c>
      <c r="AM238" s="49"/>
      <c r="AN238" s="84"/>
      <c r="AO238" s="71">
        <f t="shared" ref="AO238" si="919">SUM(AO236:AO237)</f>
        <v>0</v>
      </c>
      <c r="AP238" s="49"/>
      <c r="AQ238" s="84"/>
      <c r="AR238" s="71">
        <f t="shared" ref="AR238" si="920">SUM(AR236:AR237)</f>
        <v>0</v>
      </c>
      <c r="AS238" s="49"/>
      <c r="AT238" s="84"/>
      <c r="AU238" s="71">
        <f t="shared" ref="AU238" si="921">SUM(AU236:AU237)</f>
        <v>0</v>
      </c>
      <c r="AV238" s="49"/>
      <c r="AW238" s="84"/>
      <c r="AX238" s="71">
        <f t="shared" ref="AX238" si="922">SUM(AX236:AX237)</f>
        <v>0</v>
      </c>
      <c r="AY238" s="49"/>
      <c r="AZ238" s="84"/>
      <c r="BA238" s="71">
        <f t="shared" ref="BA238" si="923">SUM(BA236:BA237)</f>
        <v>0</v>
      </c>
      <c r="BB238" s="49"/>
      <c r="BC238" s="84"/>
      <c r="BD238" s="71">
        <f t="shared" ref="BD238" si="924">SUM(BD236:BD237)</f>
        <v>0</v>
      </c>
      <c r="BE238" s="49"/>
      <c r="BF238" s="84"/>
      <c r="BG238" s="71">
        <f t="shared" ref="BG238" si="925">SUM(BG236:BG237)</f>
        <v>0</v>
      </c>
      <c r="BH238" s="49"/>
      <c r="BI238" s="84"/>
      <c r="BJ238" s="71">
        <f t="shared" ref="BJ238" si="926">SUM(BJ236:BJ237)</f>
        <v>0</v>
      </c>
      <c r="BK238" s="49"/>
      <c r="BL238" s="84"/>
      <c r="BM238" s="71">
        <f t="shared" ref="BM238" si="927">SUM(BM236:BM237)</f>
        <v>0</v>
      </c>
      <c r="BN238" s="49"/>
      <c r="BO238" s="84"/>
      <c r="BP238" s="71">
        <f t="shared" ref="BP238" si="928">SUM(BP236:BP237)</f>
        <v>0</v>
      </c>
      <c r="BQ238" s="49"/>
      <c r="BR238" s="84"/>
      <c r="BS238" s="71">
        <f t="shared" ref="BS238" si="929">SUM(BS236:BS237)</f>
        <v>0</v>
      </c>
      <c r="BT238" s="49"/>
      <c r="BU238" s="84"/>
      <c r="BV238" s="71">
        <f t="shared" ref="BV238" si="930">SUM(BV236:BV237)</f>
        <v>0</v>
      </c>
      <c r="BW238" s="49"/>
      <c r="BX238" s="84"/>
      <c r="BY238" s="71">
        <f t="shared" ref="BY238" si="931">SUM(BY236:BY237)</f>
        <v>0</v>
      </c>
      <c r="BZ238" s="49"/>
      <c r="CA238" s="84"/>
      <c r="CB238" s="71">
        <f t="shared" ref="CB238" si="932">SUM(CB236:CB237)</f>
        <v>0</v>
      </c>
      <c r="CC238" s="49"/>
      <c r="CD238" s="84"/>
      <c r="CE238" s="71">
        <f t="shared" ref="CE238" si="933">SUM(CE236:CE237)</f>
        <v>0</v>
      </c>
      <c r="CF238" s="49"/>
      <c r="CG238" s="84"/>
      <c r="CH238" s="71">
        <f t="shared" ref="CH238" si="934">SUM(CH236:CH237)</f>
        <v>0</v>
      </c>
      <c r="CI238" s="49"/>
      <c r="CJ238" s="84"/>
      <c r="CK238" s="71">
        <f t="shared" ref="CK238" si="935">SUM(CK236:CK237)</f>
        <v>0</v>
      </c>
      <c r="CL238" s="49"/>
      <c r="CM238" s="84"/>
      <c r="CN238" s="71">
        <f t="shared" ref="CN238" si="936">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24</v>
      </c>
      <c r="G240" s="407">
        <f ca="1">VLOOKUP(H240,Equipos!$Q$1:$R$25,2,0)</f>
        <v>23</v>
      </c>
      <c r="H240" s="65" t="str">
        <f>Idiomas!$D$263</f>
        <v>Semifinales</v>
      </c>
      <c r="I240" s="50"/>
      <c r="J240" s="847"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37">COUNTIF($M$240:$M$241,V240)*$D$32</f>
        <v>0</v>
      </c>
      <c r="X240" s="110"/>
      <c r="Y240" s="76" t="s">
        <v>38</v>
      </c>
      <c r="Z240" s="77">
        <f t="shared" ref="Z240" si="938">COUNTIF($M$240:$M$241,Y240)*$D$32</f>
        <v>0</v>
      </c>
      <c r="AA240" s="110"/>
      <c r="AB240" s="76" t="s">
        <v>74</v>
      </c>
      <c r="AC240" s="77">
        <f>COUNTIF($M$240:$M$241,AB240)*$D$32</f>
        <v>0</v>
      </c>
      <c r="AD240" s="110"/>
      <c r="AE240" s="76" t="s">
        <v>38</v>
      </c>
      <c r="AF240" s="77">
        <f>COUNTIF($M$240:$M$241,AE240)*$D$32</f>
        <v>0</v>
      </c>
      <c r="AG240" s="110"/>
      <c r="AH240" s="76" t="s">
        <v>38</v>
      </c>
      <c r="AI240" s="77">
        <f t="shared" ref="AI240" si="939">COUNTIF($M$240:$M$241,AH240)*$D$32</f>
        <v>0</v>
      </c>
      <c r="AJ240" s="110"/>
      <c r="AK240" s="76" t="s">
        <v>74</v>
      </c>
      <c r="AL240" s="77">
        <f t="shared" ref="AL240" si="940">COUNTIF($M$240:$M$241,AK240)*$D$32</f>
        <v>0</v>
      </c>
      <c r="AM240" s="110"/>
      <c r="AN240" s="76"/>
      <c r="AO240" s="77">
        <f t="shared" ref="AO240" si="941">COUNTIF($M$240:$M$241,AN240)*$D$32</f>
        <v>0</v>
      </c>
      <c r="AP240" s="110"/>
      <c r="AQ240" s="76"/>
      <c r="AR240" s="77">
        <f t="shared" ref="AR240" si="942">COUNTIF($M$240:$M$241,AQ240)*$D$32</f>
        <v>0</v>
      </c>
      <c r="AS240" s="110"/>
      <c r="AT240" s="76"/>
      <c r="AU240" s="77">
        <f t="shared" ref="AU240" si="943">COUNTIF($M$240:$M$241,AT240)*$D$32</f>
        <v>0</v>
      </c>
      <c r="AV240" s="110"/>
      <c r="AW240" s="76"/>
      <c r="AX240" s="77">
        <f t="shared" ref="AX240" si="944">COUNTIF($M$240:$M$241,AW240)*$D$32</f>
        <v>0</v>
      </c>
      <c r="AY240" s="110"/>
      <c r="AZ240" s="76"/>
      <c r="BA240" s="77">
        <f t="shared" ref="BA240" si="945">COUNTIF($M$240:$M$241,AZ240)*$D$32</f>
        <v>0</v>
      </c>
      <c r="BB240" s="110"/>
      <c r="BC240" s="76"/>
      <c r="BD240" s="77">
        <f t="shared" ref="BD240" si="946">COUNTIF($M$240:$M$241,BC240)*$D$32</f>
        <v>0</v>
      </c>
      <c r="BE240" s="110"/>
      <c r="BF240" s="76"/>
      <c r="BG240" s="77">
        <f t="shared" ref="BG240" si="947">COUNTIF($M$240:$M$241,BF240)*$D$32</f>
        <v>0</v>
      </c>
      <c r="BH240" s="110"/>
      <c r="BI240" s="76"/>
      <c r="BJ240" s="77">
        <f t="shared" ref="BJ240" si="948">COUNTIF($M$240:$M$241,BI240)*$D$32</f>
        <v>0</v>
      </c>
      <c r="BK240" s="110"/>
      <c r="BL240" s="76"/>
      <c r="BM240" s="77">
        <f t="shared" ref="BM240" si="949">COUNTIF($M$240:$M$241,BL240)*$D$32</f>
        <v>0</v>
      </c>
      <c r="BN240" s="110"/>
      <c r="BO240" s="76"/>
      <c r="BP240" s="77">
        <f t="shared" ref="BP240" si="950">COUNTIF($M$240:$M$241,BO240)*$D$32</f>
        <v>0</v>
      </c>
      <c r="BQ240" s="110"/>
      <c r="BR240" s="76"/>
      <c r="BS240" s="77">
        <f t="shared" ref="BS240" si="951">COUNTIF($M$240:$M$241,BR240)*$D$32</f>
        <v>0</v>
      </c>
      <c r="BT240" s="110"/>
      <c r="BU240" s="76"/>
      <c r="BV240" s="77">
        <f t="shared" ref="BV240" si="952">COUNTIF($M$240:$M$241,BU240)*$D$32</f>
        <v>0</v>
      </c>
      <c r="BW240" s="110"/>
      <c r="BX240" s="76"/>
      <c r="BY240" s="77">
        <f t="shared" ref="BY240" si="953">COUNTIF($M$240:$M$241,BX240)*$D$32</f>
        <v>0</v>
      </c>
      <c r="BZ240" s="110"/>
      <c r="CA240" s="76"/>
      <c r="CB240" s="77">
        <f t="shared" ref="CB240" si="954">COUNTIF($M$240:$M$241,CA240)*$D$32</f>
        <v>0</v>
      </c>
      <c r="CC240" s="110"/>
      <c r="CD240" s="76"/>
      <c r="CE240" s="77">
        <f t="shared" ref="CE240" si="955">COUNTIF($M$240:$M$241,CD240)*$D$32</f>
        <v>0</v>
      </c>
      <c r="CF240" s="110"/>
      <c r="CG240" s="76"/>
      <c r="CH240" s="77">
        <f t="shared" ref="CH240" si="956">COUNTIF($M$240:$M$241,CG240)*$D$32</f>
        <v>0</v>
      </c>
      <c r="CI240" s="110"/>
      <c r="CJ240" s="76"/>
      <c r="CK240" s="77">
        <f t="shared" ref="CK240" si="957">COUNTIF($M$240:$M$241,CJ240)*$D$32</f>
        <v>0</v>
      </c>
      <c r="CL240" s="110"/>
      <c r="CM240" s="76"/>
      <c r="CN240" s="77">
        <f t="shared" ref="CN240" si="958">COUNTIF($M$240:$M$241,CM240)*$D$32</f>
        <v>0</v>
      </c>
      <c r="CO240" s="110"/>
      <c r="CP240" s="110"/>
    </row>
    <row r="241" spans="1:94">
      <c r="A241" s="25"/>
      <c r="B241" s="25"/>
      <c r="C241" s="25"/>
      <c r="D241" s="25"/>
      <c r="E241" s="25"/>
      <c r="F241" s="407">
        <f>$D$32</f>
        <v>24</v>
      </c>
      <c r="G241" s="407">
        <f ca="1">VLOOKUP(H241,Equipos!$Q$1:$R$25,2,0)</f>
        <v>23</v>
      </c>
      <c r="H241" s="65" t="str">
        <f>Idiomas!$D$263</f>
        <v>Semifinales</v>
      </c>
      <c r="I241" s="50"/>
      <c r="J241" s="847"/>
      <c r="K241" s="115" t="str">
        <f>Idiomas!$D$203&amp;"-"&amp;ROWS($L$240:L241)</f>
        <v>Finalista-2</v>
      </c>
      <c r="L241" s="115"/>
      <c r="M241" s="116" t="str">
        <f>WORLDCUP!AF147</f>
        <v>W102</v>
      </c>
      <c r="N241" s="25"/>
      <c r="O241" s="25"/>
      <c r="P241" s="25"/>
      <c r="Q241" s="25"/>
      <c r="R241" s="17"/>
      <c r="S241" s="80" t="s">
        <v>1256</v>
      </c>
      <c r="T241" s="81">
        <f>COUNTIF($M$240:$M$241,S241)*$D$32</f>
        <v>0</v>
      </c>
      <c r="U241" s="110"/>
      <c r="V241" s="80" t="s">
        <v>1256</v>
      </c>
      <c r="W241" s="81">
        <f t="shared" ref="W241" si="959">COUNTIF($M$240:$M$241,V241)*$D$32</f>
        <v>0</v>
      </c>
      <c r="X241" s="110"/>
      <c r="Y241" s="80" t="s">
        <v>76</v>
      </c>
      <c r="Z241" s="81">
        <f t="shared" ref="Z241" si="960">COUNTIF($M$240:$M$241,Y241)*$D$32</f>
        <v>0</v>
      </c>
      <c r="AA241" s="110"/>
      <c r="AB241" s="80" t="s">
        <v>1256</v>
      </c>
      <c r="AC241" s="81">
        <f>COUNTIF($M$240:$M$241,AB241)*$D$32</f>
        <v>0</v>
      </c>
      <c r="AD241" s="110"/>
      <c r="AE241" s="80" t="s">
        <v>1256</v>
      </c>
      <c r="AF241" s="81">
        <f>COUNTIF($M$240:$M$241,AE241)*$D$32</f>
        <v>0</v>
      </c>
      <c r="AG241" s="110"/>
      <c r="AH241" s="80" t="s">
        <v>1256</v>
      </c>
      <c r="AI241" s="81">
        <f t="shared" ref="AI241" si="961">COUNTIF($M$240:$M$241,AH241)*$D$32</f>
        <v>0</v>
      </c>
      <c r="AJ241" s="110"/>
      <c r="AK241" s="80" t="s">
        <v>76</v>
      </c>
      <c r="AL241" s="81">
        <f t="shared" ref="AL241" si="962">COUNTIF($M$240:$M$241,AK241)*$D$32</f>
        <v>0</v>
      </c>
      <c r="AM241" s="110"/>
      <c r="AN241" s="80"/>
      <c r="AO241" s="81">
        <f t="shared" ref="AO241" si="963">COUNTIF($M$240:$M$241,AN241)*$D$32</f>
        <v>0</v>
      </c>
      <c r="AP241" s="110"/>
      <c r="AQ241" s="80"/>
      <c r="AR241" s="81">
        <f t="shared" ref="AR241" si="964">COUNTIF($M$240:$M$241,AQ241)*$D$32</f>
        <v>0</v>
      </c>
      <c r="AS241" s="110"/>
      <c r="AT241" s="80"/>
      <c r="AU241" s="81">
        <f t="shared" ref="AU241" si="965">COUNTIF($M$240:$M$241,AT241)*$D$32</f>
        <v>0</v>
      </c>
      <c r="AV241" s="110"/>
      <c r="AW241" s="80"/>
      <c r="AX241" s="81">
        <f t="shared" ref="AX241" si="966">COUNTIF($M$240:$M$241,AW241)*$D$32</f>
        <v>0</v>
      </c>
      <c r="AY241" s="110"/>
      <c r="AZ241" s="80"/>
      <c r="BA241" s="81">
        <f t="shared" ref="BA241" si="967">COUNTIF($M$240:$M$241,AZ241)*$D$32</f>
        <v>0</v>
      </c>
      <c r="BB241" s="110"/>
      <c r="BC241" s="80"/>
      <c r="BD241" s="81">
        <f t="shared" ref="BD241" si="968">COUNTIF($M$240:$M$241,BC241)*$D$32</f>
        <v>0</v>
      </c>
      <c r="BE241" s="110"/>
      <c r="BF241" s="80"/>
      <c r="BG241" s="81">
        <f t="shared" ref="BG241" si="969">COUNTIF($M$240:$M$241,BF241)*$D$32</f>
        <v>0</v>
      </c>
      <c r="BH241" s="110"/>
      <c r="BI241" s="80"/>
      <c r="BJ241" s="81">
        <f t="shared" ref="BJ241" si="970">COUNTIF($M$240:$M$241,BI241)*$D$32</f>
        <v>0</v>
      </c>
      <c r="BK241" s="110"/>
      <c r="BL241" s="80"/>
      <c r="BM241" s="81">
        <f t="shared" ref="BM241" si="971">COUNTIF($M$240:$M$241,BL241)*$D$32</f>
        <v>0</v>
      </c>
      <c r="BN241" s="110"/>
      <c r="BO241" s="80"/>
      <c r="BP241" s="81">
        <f t="shared" ref="BP241" si="972">COUNTIF($M$240:$M$241,BO241)*$D$32</f>
        <v>0</v>
      </c>
      <c r="BQ241" s="110"/>
      <c r="BR241" s="80"/>
      <c r="BS241" s="81">
        <f t="shared" ref="BS241" si="973">COUNTIF($M$240:$M$241,BR241)*$D$32</f>
        <v>0</v>
      </c>
      <c r="BT241" s="110"/>
      <c r="BU241" s="80"/>
      <c r="BV241" s="81">
        <f t="shared" ref="BV241" si="974">COUNTIF($M$240:$M$241,BU241)*$D$32</f>
        <v>0</v>
      </c>
      <c r="BW241" s="110"/>
      <c r="BX241" s="80"/>
      <c r="BY241" s="81">
        <f t="shared" ref="BY241" si="975">COUNTIF($M$240:$M$241,BX241)*$D$32</f>
        <v>0</v>
      </c>
      <c r="BZ241" s="110"/>
      <c r="CA241" s="80"/>
      <c r="CB241" s="81">
        <f t="shared" ref="CB241" si="976">COUNTIF($M$240:$M$241,CA241)*$D$32</f>
        <v>0</v>
      </c>
      <c r="CC241" s="110"/>
      <c r="CD241" s="80"/>
      <c r="CE241" s="81">
        <f t="shared" ref="CE241" si="977">COUNTIF($M$240:$M$241,CD241)*$D$32</f>
        <v>0</v>
      </c>
      <c r="CF241" s="110"/>
      <c r="CG241" s="80"/>
      <c r="CH241" s="81">
        <f t="shared" ref="CH241" si="978">COUNTIF($M$240:$M$241,CG241)*$D$32</f>
        <v>0</v>
      </c>
      <c r="CI241" s="110"/>
      <c r="CJ241" s="80"/>
      <c r="CK241" s="81">
        <f t="shared" ref="CK241" si="979">COUNTIF($M$240:$M$241,CJ241)*$D$32</f>
        <v>0</v>
      </c>
      <c r="CL241" s="110"/>
      <c r="CM241" s="80"/>
      <c r="CN241" s="81">
        <f t="shared" ref="CN241" si="98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48</v>
      </c>
      <c r="N242" s="25"/>
      <c r="O242" s="25"/>
      <c r="P242" s="25"/>
      <c r="Q242" s="25"/>
      <c r="R242" s="17"/>
      <c r="S242" s="84"/>
      <c r="T242" s="71">
        <f>SUM(T240:T241)</f>
        <v>0</v>
      </c>
      <c r="U242" s="49"/>
      <c r="V242" s="84"/>
      <c r="W242" s="71">
        <f t="shared" ref="W242" si="981">SUM(W240:W241)</f>
        <v>0</v>
      </c>
      <c r="X242" s="49"/>
      <c r="Y242" s="84"/>
      <c r="Z242" s="71">
        <f t="shared" ref="Z242" si="982">SUM(Z240:Z241)</f>
        <v>0</v>
      </c>
      <c r="AA242" s="49"/>
      <c r="AB242" s="84"/>
      <c r="AC242" s="71">
        <f t="shared" ref="AC242" si="983">SUM(AC240:AC241)</f>
        <v>0</v>
      </c>
      <c r="AD242" s="49"/>
      <c r="AE242" s="84"/>
      <c r="AF242" s="71">
        <f t="shared" ref="AF242" si="984">SUM(AF240:AF241)</f>
        <v>0</v>
      </c>
      <c r="AG242" s="49"/>
      <c r="AH242" s="84"/>
      <c r="AI242" s="71">
        <f t="shared" ref="AI242" si="985">SUM(AI240:AI241)</f>
        <v>0</v>
      </c>
      <c r="AJ242" s="49"/>
      <c r="AK242" s="84"/>
      <c r="AL242" s="71">
        <f t="shared" ref="AL242" si="986">SUM(AL240:AL241)</f>
        <v>0</v>
      </c>
      <c r="AM242" s="49"/>
      <c r="AN242" s="84"/>
      <c r="AO242" s="71">
        <f t="shared" ref="AO242" si="987">SUM(AO240:AO241)</f>
        <v>0</v>
      </c>
      <c r="AP242" s="49"/>
      <c r="AQ242" s="84"/>
      <c r="AR242" s="71">
        <f t="shared" ref="AR242" si="988">SUM(AR240:AR241)</f>
        <v>0</v>
      </c>
      <c r="AS242" s="49"/>
      <c r="AT242" s="84"/>
      <c r="AU242" s="71">
        <f t="shared" ref="AU242" si="989">SUM(AU240:AU241)</f>
        <v>0</v>
      </c>
      <c r="AV242" s="49"/>
      <c r="AW242" s="84"/>
      <c r="AX242" s="71">
        <f t="shared" ref="AX242" si="990">SUM(AX240:AX241)</f>
        <v>0</v>
      </c>
      <c r="AY242" s="49"/>
      <c r="AZ242" s="84"/>
      <c r="BA242" s="71">
        <f t="shared" ref="BA242" si="991">SUM(BA240:BA241)</f>
        <v>0</v>
      </c>
      <c r="BB242" s="49"/>
      <c r="BC242" s="84"/>
      <c r="BD242" s="71">
        <f t="shared" ref="BD242" si="992">SUM(BD240:BD241)</f>
        <v>0</v>
      </c>
      <c r="BE242" s="49"/>
      <c r="BF242" s="84"/>
      <c r="BG242" s="71">
        <f t="shared" ref="BG242" si="993">SUM(BG240:BG241)</f>
        <v>0</v>
      </c>
      <c r="BH242" s="49"/>
      <c r="BI242" s="84"/>
      <c r="BJ242" s="71">
        <f t="shared" ref="BJ242" si="994">SUM(BJ240:BJ241)</f>
        <v>0</v>
      </c>
      <c r="BK242" s="49"/>
      <c r="BL242" s="84"/>
      <c r="BM242" s="71">
        <f t="shared" ref="BM242" si="995">SUM(BM240:BM241)</f>
        <v>0</v>
      </c>
      <c r="BN242" s="49"/>
      <c r="BO242" s="84"/>
      <c r="BP242" s="71">
        <f t="shared" ref="BP242" si="996">SUM(BP240:BP241)</f>
        <v>0</v>
      </c>
      <c r="BQ242" s="49"/>
      <c r="BR242" s="84"/>
      <c r="BS242" s="71">
        <f t="shared" ref="BS242" si="997">SUM(BS240:BS241)</f>
        <v>0</v>
      </c>
      <c r="BT242" s="49"/>
      <c r="BU242" s="84"/>
      <c r="BV242" s="71">
        <f t="shared" ref="BV242" si="998">SUM(BV240:BV241)</f>
        <v>0</v>
      </c>
      <c r="BW242" s="49"/>
      <c r="BX242" s="84"/>
      <c r="BY242" s="71">
        <f t="shared" ref="BY242" si="999">SUM(BY240:BY241)</f>
        <v>0</v>
      </c>
      <c r="BZ242" s="49"/>
      <c r="CA242" s="84"/>
      <c r="CB242" s="71">
        <f t="shared" ref="CB242" si="1000">SUM(CB240:CB241)</f>
        <v>0</v>
      </c>
      <c r="CC242" s="49"/>
      <c r="CD242" s="84"/>
      <c r="CE242" s="71">
        <f t="shared" ref="CE242" si="1001">SUM(CE240:CE241)</f>
        <v>0</v>
      </c>
      <c r="CF242" s="49"/>
      <c r="CG242" s="84"/>
      <c r="CH242" s="71">
        <f t="shared" ref="CH242" si="1002">SUM(CH240:CH241)</f>
        <v>0</v>
      </c>
      <c r="CI242" s="49"/>
      <c r="CJ242" s="84"/>
      <c r="CK242" s="71">
        <f t="shared" ref="CK242" si="1003">SUM(CK240:CK241)</f>
        <v>0</v>
      </c>
      <c r="CL242" s="49"/>
      <c r="CM242" s="84"/>
      <c r="CN242" s="71">
        <f t="shared" ref="CN242" si="100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0</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2010</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2048</v>
      </c>
      <c r="W244" s="85">
        <f t="shared" ref="W244" si="10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2089</v>
      </c>
      <c r="Z244" s="85">
        <f t="shared" ref="Z244" si="10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2090</v>
      </c>
      <c r="AC244" s="85">
        <f>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2066</v>
      </c>
      <c r="AF244" s="85">
        <f>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2010</v>
      </c>
      <c r="AI244" s="85">
        <f t="shared" ref="AI244" si="1007">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2009</v>
      </c>
      <c r="AL244" s="85">
        <f t="shared" ref="AL244" si="1008">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09">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10">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11">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12">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13">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14">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15">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16">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17">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18">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19">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20">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21">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22">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23">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24">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25">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26">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0</v>
      </c>
      <c r="N245" s="25"/>
      <c r="O245" s="25"/>
      <c r="P245" s="25"/>
      <c r="Q245" s="25"/>
      <c r="R245" s="17"/>
      <c r="S245" s="84"/>
      <c r="T245" s="83">
        <f>T244</f>
        <v>0</v>
      </c>
      <c r="U245" s="110"/>
      <c r="V245" s="84"/>
      <c r="W245" s="83">
        <f t="shared" ref="W245" si="1027">W244</f>
        <v>0</v>
      </c>
      <c r="X245" s="110"/>
      <c r="Y245" s="84"/>
      <c r="Z245" s="83">
        <f t="shared" ref="Z245" si="1028">Z244</f>
        <v>0</v>
      </c>
      <c r="AA245" s="110"/>
      <c r="AB245" s="82"/>
      <c r="AC245" s="83">
        <f t="shared" ref="AC245" si="1029">AC244</f>
        <v>0</v>
      </c>
      <c r="AD245" s="110"/>
      <c r="AE245" s="84"/>
      <c r="AF245" s="83">
        <f t="shared" ref="AF245" si="1030">AF244</f>
        <v>0</v>
      </c>
      <c r="AG245" s="110"/>
      <c r="AH245" s="84"/>
      <c r="AI245" s="83">
        <f t="shared" ref="AI245" si="1031">AI244</f>
        <v>0</v>
      </c>
      <c r="AJ245" s="110"/>
      <c r="AK245" s="84"/>
      <c r="AL245" s="83">
        <f t="shared" ref="AL245" si="1032">AL244</f>
        <v>0</v>
      </c>
      <c r="AM245" s="110"/>
      <c r="AN245" s="84"/>
      <c r="AO245" s="83">
        <f t="shared" ref="AO245" si="1033">AO244</f>
        <v>0</v>
      </c>
      <c r="AP245" s="110"/>
      <c r="AQ245" s="84"/>
      <c r="AR245" s="83">
        <f t="shared" ref="AR245" si="1034">AR244</f>
        <v>0</v>
      </c>
      <c r="AS245" s="110"/>
      <c r="AT245" s="84"/>
      <c r="AU245" s="83">
        <f t="shared" ref="AU245" si="1035">AU244</f>
        <v>0</v>
      </c>
      <c r="AV245" s="110"/>
      <c r="AW245" s="84"/>
      <c r="AX245" s="83">
        <f t="shared" ref="AX245" si="1036">AX244</f>
        <v>0</v>
      </c>
      <c r="AY245" s="110"/>
      <c r="AZ245" s="84"/>
      <c r="BA245" s="83">
        <f t="shared" ref="BA245" si="1037">BA244</f>
        <v>0</v>
      </c>
      <c r="BB245" s="110"/>
      <c r="BC245" s="84"/>
      <c r="BD245" s="83">
        <f t="shared" ref="BD245" si="1038">BD244</f>
        <v>0</v>
      </c>
      <c r="BE245" s="110"/>
      <c r="BF245" s="84"/>
      <c r="BG245" s="83">
        <f t="shared" ref="BG245" si="1039">BG244</f>
        <v>0</v>
      </c>
      <c r="BH245" s="110"/>
      <c r="BI245" s="84"/>
      <c r="BJ245" s="83">
        <f t="shared" ref="BJ245" si="1040">BJ244</f>
        <v>0</v>
      </c>
      <c r="BK245" s="110"/>
      <c r="BL245" s="84"/>
      <c r="BM245" s="83">
        <f t="shared" ref="BM245" si="1041">BM244</f>
        <v>0</v>
      </c>
      <c r="BN245" s="110"/>
      <c r="BO245" s="84"/>
      <c r="BP245" s="83">
        <f t="shared" ref="BP245" si="1042">BP244</f>
        <v>0</v>
      </c>
      <c r="BQ245" s="110"/>
      <c r="BR245" s="84"/>
      <c r="BS245" s="83">
        <f t="shared" ref="BS245" si="1043">BS244</f>
        <v>0</v>
      </c>
      <c r="BT245" s="110"/>
      <c r="BU245" s="84"/>
      <c r="BV245" s="83">
        <f t="shared" ref="BV245" si="1044">BV244</f>
        <v>0</v>
      </c>
      <c r="BW245" s="110"/>
      <c r="BX245" s="84"/>
      <c r="BY245" s="83">
        <f t="shared" ref="BY245" si="1045">BY244</f>
        <v>0</v>
      </c>
      <c r="BZ245" s="110"/>
      <c r="CA245" s="84"/>
      <c r="CB245" s="83">
        <f t="shared" ref="CB245" si="1046">CB244</f>
        <v>0</v>
      </c>
      <c r="CC245" s="110"/>
      <c r="CD245" s="84"/>
      <c r="CE245" s="83">
        <f t="shared" ref="CE245" si="1047">CE244</f>
        <v>0</v>
      </c>
      <c r="CF245" s="110"/>
      <c r="CG245" s="84"/>
      <c r="CH245" s="83">
        <f t="shared" ref="CH245" si="1048">CH244</f>
        <v>0</v>
      </c>
      <c r="CI245" s="110"/>
      <c r="CJ245" s="84"/>
      <c r="CK245" s="83">
        <f t="shared" ref="CK245" si="1049">CK244</f>
        <v>0</v>
      </c>
      <c r="CL245" s="110"/>
      <c r="CM245" s="84"/>
      <c r="CN245" s="83">
        <f t="shared" ref="CN245" si="1050">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0</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2033</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2049</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2090</v>
      </c>
      <c r="Z247" s="85">
        <f t="shared" ref="Z247" si="1051">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2106</v>
      </c>
      <c r="AC247" s="85">
        <f>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2067</v>
      </c>
      <c r="AF247" s="85">
        <f>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2067</v>
      </c>
      <c r="AI247" s="85">
        <f t="shared" ref="AI247" si="1052">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2010</v>
      </c>
      <c r="AL247" s="85">
        <f t="shared" ref="AL247" si="1053">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54">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55">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56">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57">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58">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59">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60">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61">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62">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63">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64">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65">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066">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067">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068">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069">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070">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071">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0</v>
      </c>
      <c r="N248" s="25"/>
      <c r="O248" s="25"/>
      <c r="P248" s="25"/>
      <c r="Q248" s="25"/>
      <c r="R248" s="17"/>
      <c r="S248" s="84"/>
      <c r="T248" s="71">
        <f>T247</f>
        <v>0</v>
      </c>
      <c r="U248" s="65"/>
      <c r="V248" s="84"/>
      <c r="W248" s="71">
        <f t="shared" ref="W248" si="1072">W247</f>
        <v>0</v>
      </c>
      <c r="X248" s="65"/>
      <c r="Y248" s="84"/>
      <c r="Z248" s="71">
        <f t="shared" ref="Z248" si="1073">Z247</f>
        <v>0</v>
      </c>
      <c r="AA248" s="65"/>
      <c r="AB248" s="84"/>
      <c r="AC248" s="71">
        <f t="shared" ref="AC248" si="1074">AC247</f>
        <v>0</v>
      </c>
      <c r="AD248" s="65"/>
      <c r="AE248" s="84"/>
      <c r="AF248" s="71">
        <f t="shared" ref="AF248" si="1075">AF247</f>
        <v>0</v>
      </c>
      <c r="AG248" s="65"/>
      <c r="AH248" s="84"/>
      <c r="AI248" s="71">
        <f t="shared" ref="AI248" si="1076">AI247</f>
        <v>0</v>
      </c>
      <c r="AJ248" s="65"/>
      <c r="AK248" s="84"/>
      <c r="AL248" s="71">
        <f t="shared" ref="AL248" si="1077">AL247</f>
        <v>0</v>
      </c>
      <c r="AM248" s="65"/>
      <c r="AN248" s="84"/>
      <c r="AO248" s="71">
        <f t="shared" ref="AO248" si="1078">AO247</f>
        <v>0</v>
      </c>
      <c r="AP248" s="65"/>
      <c r="AQ248" s="84"/>
      <c r="AR248" s="71">
        <f t="shared" ref="AR248" si="1079">AR247</f>
        <v>0</v>
      </c>
      <c r="AS248" s="65"/>
      <c r="AT248" s="84"/>
      <c r="AU248" s="71">
        <f t="shared" ref="AU248" si="1080">AU247</f>
        <v>0</v>
      </c>
      <c r="AV248" s="65"/>
      <c r="AW248" s="84"/>
      <c r="AX248" s="71">
        <f t="shared" ref="AX248" si="1081">AX247</f>
        <v>0</v>
      </c>
      <c r="AY248" s="65"/>
      <c r="AZ248" s="84"/>
      <c r="BA248" s="71">
        <f t="shared" ref="BA248" si="1082">BA247</f>
        <v>0</v>
      </c>
      <c r="BB248" s="65"/>
      <c r="BC248" s="84"/>
      <c r="BD248" s="71">
        <f t="shared" ref="BD248" si="1083">BD247</f>
        <v>0</v>
      </c>
      <c r="BE248" s="65"/>
      <c r="BF248" s="84"/>
      <c r="BG248" s="71">
        <f t="shared" ref="BG248" si="1084">BG247</f>
        <v>0</v>
      </c>
      <c r="BH248" s="65"/>
      <c r="BI248" s="84"/>
      <c r="BJ248" s="71">
        <f t="shared" ref="BJ248" si="1085">BJ247</f>
        <v>0</v>
      </c>
      <c r="BK248" s="65"/>
      <c r="BL248" s="84"/>
      <c r="BM248" s="71">
        <f t="shared" ref="BM248" si="1086">BM247</f>
        <v>0</v>
      </c>
      <c r="BN248" s="65"/>
      <c r="BO248" s="84"/>
      <c r="BP248" s="71">
        <f t="shared" ref="BP248" si="1087">BP247</f>
        <v>0</v>
      </c>
      <c r="BQ248" s="65"/>
      <c r="BR248" s="84"/>
      <c r="BS248" s="71">
        <f t="shared" ref="BS248" si="1088">BS247</f>
        <v>0</v>
      </c>
      <c r="BT248" s="65"/>
      <c r="BU248" s="84"/>
      <c r="BV248" s="71">
        <f t="shared" ref="BV248" si="1089">BV247</f>
        <v>0</v>
      </c>
      <c r="BW248" s="65"/>
      <c r="BX248" s="84"/>
      <c r="BY248" s="71">
        <f t="shared" ref="BY248" si="1090">BY247</f>
        <v>0</v>
      </c>
      <c r="BZ248" s="65"/>
      <c r="CA248" s="84"/>
      <c r="CB248" s="71">
        <f t="shared" ref="CB248" si="1091">CB247</f>
        <v>0</v>
      </c>
      <c r="CC248" s="65"/>
      <c r="CD248" s="84"/>
      <c r="CE248" s="71">
        <f t="shared" ref="CE248" si="1092">CE247</f>
        <v>0</v>
      </c>
      <c r="CF248" s="65"/>
      <c r="CG248" s="84"/>
      <c r="CH248" s="71">
        <f t="shared" ref="CH248" si="1093">CH247</f>
        <v>0</v>
      </c>
      <c r="CI248" s="65"/>
      <c r="CJ248" s="84"/>
      <c r="CK248" s="71">
        <f t="shared" ref="CK248" si="1094">CK247</f>
        <v>0</v>
      </c>
      <c r="CL248" s="65"/>
      <c r="CM248" s="84"/>
      <c r="CN248" s="71">
        <f t="shared" ref="CN248" si="1095">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6.05" customHeight="1">
      <c r="A250" s="17"/>
      <c r="B250" s="17"/>
      <c r="C250" s="17"/>
      <c r="D250" s="17"/>
      <c r="E250" s="89"/>
      <c r="F250" s="407">
        <f t="shared" ref="F250:F258" si="1096">D39</f>
        <v>48</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097">COUNTIF($M$250,V250)*$D$39</f>
        <v>0</v>
      </c>
      <c r="X250" s="64"/>
      <c r="Y250" s="76" t="s">
        <v>38</v>
      </c>
      <c r="Z250" s="77">
        <f t="shared" ref="Z250" si="1098">COUNTIF($M$250,Y250)*$D$39</f>
        <v>0</v>
      </c>
      <c r="AA250" s="64"/>
      <c r="AB250" s="76" t="s">
        <v>74</v>
      </c>
      <c r="AC250" s="77">
        <f>COUNTIF($M$250,AB250)*$D$39</f>
        <v>0</v>
      </c>
      <c r="AD250" s="64"/>
      <c r="AE250" s="76" t="s">
        <v>1256</v>
      </c>
      <c r="AF250" s="77">
        <f>COUNTIF($M$250,AE250)*$D$39</f>
        <v>0</v>
      </c>
      <c r="AG250" s="64"/>
      <c r="AH250" s="76" t="s">
        <v>1256</v>
      </c>
      <c r="AI250" s="77">
        <f t="shared" ref="AI250" si="1099">COUNTIF($M$250,AH250)*$D$39</f>
        <v>0</v>
      </c>
      <c r="AJ250" s="64"/>
      <c r="AK250" s="76" t="s">
        <v>74</v>
      </c>
      <c r="AL250" s="77">
        <f t="shared" ref="AL250" si="1100">COUNTIF($M$250,AK250)*$D$39</f>
        <v>0</v>
      </c>
      <c r="AM250" s="64"/>
      <c r="AN250" s="76"/>
      <c r="AO250" s="77">
        <f t="shared" ref="AO250" si="1101">COUNTIF($M$250,AN250)*$D$39</f>
        <v>0</v>
      </c>
      <c r="AP250" s="64"/>
      <c r="AQ250" s="76"/>
      <c r="AR250" s="77">
        <f t="shared" ref="AR250" si="1102">COUNTIF($M$250,AQ250)*$D$39</f>
        <v>0</v>
      </c>
      <c r="AS250" s="64"/>
      <c r="AT250" s="76"/>
      <c r="AU250" s="77">
        <f t="shared" ref="AU250" si="1103">COUNTIF($M$250,AT250)*$D$39</f>
        <v>0</v>
      </c>
      <c r="AV250" s="64"/>
      <c r="AW250" s="76"/>
      <c r="AX250" s="77">
        <f t="shared" ref="AX250" si="1104">COUNTIF($M$250,AW250)*$D$39</f>
        <v>0</v>
      </c>
      <c r="AY250" s="64"/>
      <c r="AZ250" s="76"/>
      <c r="BA250" s="77">
        <f t="shared" ref="BA250" si="1105">COUNTIF($M$250,AZ250)*$D$39</f>
        <v>0</v>
      </c>
      <c r="BB250" s="64"/>
      <c r="BC250" s="76"/>
      <c r="BD250" s="77">
        <f t="shared" ref="BD250" si="1106">COUNTIF($M$250,BC250)*$D$39</f>
        <v>0</v>
      </c>
      <c r="BE250" s="64"/>
      <c r="BF250" s="76"/>
      <c r="BG250" s="77">
        <f t="shared" ref="BG250" si="1107">COUNTIF($M$250,BF250)*$D$39</f>
        <v>0</v>
      </c>
      <c r="BH250" s="64"/>
      <c r="BI250" s="76"/>
      <c r="BJ250" s="77">
        <f t="shared" ref="BJ250" si="1108">COUNTIF($M$250,BI250)*$D$39</f>
        <v>0</v>
      </c>
      <c r="BK250" s="64"/>
      <c r="BL250" s="76"/>
      <c r="BM250" s="77">
        <f t="shared" ref="BM250" si="1109">COUNTIF($M$250,BL250)*$D$39</f>
        <v>0</v>
      </c>
      <c r="BN250" s="64"/>
      <c r="BO250" s="76"/>
      <c r="BP250" s="77">
        <f t="shared" ref="BP250" si="1110">COUNTIF($M$250,BO250)*$D$39</f>
        <v>0</v>
      </c>
      <c r="BQ250" s="64"/>
      <c r="BR250" s="76"/>
      <c r="BS250" s="77">
        <f t="shared" ref="BS250" si="1111">COUNTIF($M$250,BR250)*$D$39</f>
        <v>0</v>
      </c>
      <c r="BT250" s="64"/>
      <c r="BU250" s="76"/>
      <c r="BV250" s="77">
        <f t="shared" ref="BV250" si="1112">COUNTIF($M$250,BU250)*$D$39</f>
        <v>0</v>
      </c>
      <c r="BW250" s="64"/>
      <c r="BX250" s="76"/>
      <c r="BY250" s="77">
        <f t="shared" ref="BY250" si="1113">COUNTIF($M$250,BX250)*$D$39</f>
        <v>0</v>
      </c>
      <c r="BZ250" s="64"/>
      <c r="CA250" s="76"/>
      <c r="CB250" s="77">
        <f t="shared" ref="CB250" si="1114">COUNTIF($M$250,CA250)*$D$39</f>
        <v>0</v>
      </c>
      <c r="CC250" s="64"/>
      <c r="CD250" s="76"/>
      <c r="CE250" s="77">
        <f t="shared" ref="CE250" si="1115">COUNTIF($M$250,CD250)*$D$39</f>
        <v>0</v>
      </c>
      <c r="CF250" s="64"/>
      <c r="CG250" s="76"/>
      <c r="CH250" s="77">
        <f t="shared" ref="CH250" si="1116">COUNTIF($M$250,CG250)*$D$39</f>
        <v>0</v>
      </c>
      <c r="CI250" s="64"/>
      <c r="CJ250" s="76"/>
      <c r="CK250" s="77">
        <f t="shared" ref="CK250" si="1117">COUNTIF($M$250,CJ250)*$D$39</f>
        <v>0</v>
      </c>
      <c r="CL250" s="64"/>
      <c r="CM250" s="76"/>
      <c r="CN250" s="77">
        <f t="shared" ref="CN250" si="1118">COUNTIF($M$250,CM250)*$D$39</f>
        <v>0</v>
      </c>
      <c r="CO250" s="64"/>
      <c r="CP250" s="64"/>
    </row>
    <row r="251" spans="1:94" ht="16.05" customHeight="1">
      <c r="A251" s="17"/>
      <c r="B251" s="17"/>
      <c r="C251" s="17"/>
      <c r="D251" s="17"/>
      <c r="E251" s="89"/>
      <c r="F251" s="407">
        <f t="shared" si="1096"/>
        <v>24</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1256</v>
      </c>
      <c r="T251" s="73">
        <f>COUNTIF($M$251,S251)*$D$40</f>
        <v>0</v>
      </c>
      <c r="U251" s="64"/>
      <c r="V251" s="74" t="s">
        <v>1256</v>
      </c>
      <c r="W251" s="73">
        <f t="shared" ref="W251" si="1119">COUNTIF($M$251,V251)*$D$40</f>
        <v>0</v>
      </c>
      <c r="X251" s="64"/>
      <c r="Y251" s="74" t="s">
        <v>76</v>
      </c>
      <c r="Z251" s="73">
        <f t="shared" ref="Z251" si="1120">COUNTIF($M$251,Y251)*$D$40</f>
        <v>0</v>
      </c>
      <c r="AA251" s="64"/>
      <c r="AB251" s="74" t="s">
        <v>1256</v>
      </c>
      <c r="AC251" s="73">
        <f>COUNTIF($M$251,AB251)*$D$40</f>
        <v>0</v>
      </c>
      <c r="AD251" s="64"/>
      <c r="AE251" s="74" t="s">
        <v>38</v>
      </c>
      <c r="AF251" s="73">
        <f>COUNTIF($M$251,AE251)*$D$40</f>
        <v>0</v>
      </c>
      <c r="AG251" s="64"/>
      <c r="AH251" s="74" t="s">
        <v>38</v>
      </c>
      <c r="AI251" s="73">
        <f t="shared" ref="AI251" si="1121">COUNTIF($M$251,AH251)*$D$40</f>
        <v>0</v>
      </c>
      <c r="AJ251" s="64"/>
      <c r="AK251" s="74" t="s">
        <v>76</v>
      </c>
      <c r="AL251" s="73">
        <f t="shared" ref="AL251" si="1122">COUNTIF($M$251,AK251)*$D$40</f>
        <v>0</v>
      </c>
      <c r="AM251" s="64"/>
      <c r="AN251" s="74"/>
      <c r="AO251" s="73">
        <f t="shared" ref="AO251" si="1123">COUNTIF($M$251,AN251)*$D$40</f>
        <v>0</v>
      </c>
      <c r="AP251" s="64"/>
      <c r="AQ251" s="74"/>
      <c r="AR251" s="73">
        <f t="shared" ref="AR251" si="1124">COUNTIF($M$251,AQ251)*$D$40</f>
        <v>0</v>
      </c>
      <c r="AS251" s="64"/>
      <c r="AT251" s="74"/>
      <c r="AU251" s="73">
        <f t="shared" ref="AU251" si="1125">COUNTIF($M$251,AT251)*$D$40</f>
        <v>0</v>
      </c>
      <c r="AV251" s="64"/>
      <c r="AW251" s="74"/>
      <c r="AX251" s="73">
        <f t="shared" ref="AX251" si="1126">COUNTIF($M$251,AW251)*$D$40</f>
        <v>0</v>
      </c>
      <c r="AY251" s="64"/>
      <c r="AZ251" s="74"/>
      <c r="BA251" s="73">
        <f t="shared" ref="BA251" si="1127">COUNTIF($M$251,AZ251)*$D$40</f>
        <v>0</v>
      </c>
      <c r="BB251" s="64"/>
      <c r="BC251" s="74"/>
      <c r="BD251" s="73">
        <f t="shared" ref="BD251" si="1128">COUNTIF($M$251,BC251)*$D$40</f>
        <v>0</v>
      </c>
      <c r="BE251" s="64"/>
      <c r="BF251" s="74"/>
      <c r="BG251" s="73">
        <f t="shared" ref="BG251" si="1129">COUNTIF($M$251,BF251)*$D$40</f>
        <v>0</v>
      </c>
      <c r="BH251" s="64"/>
      <c r="BI251" s="74"/>
      <c r="BJ251" s="73">
        <f t="shared" ref="BJ251" si="1130">COUNTIF($M$251,BI251)*$D$40</f>
        <v>0</v>
      </c>
      <c r="BK251" s="64"/>
      <c r="BL251" s="74"/>
      <c r="BM251" s="73">
        <f t="shared" ref="BM251" si="1131">COUNTIF($M$251,BL251)*$D$40</f>
        <v>0</v>
      </c>
      <c r="BN251" s="64"/>
      <c r="BO251" s="74"/>
      <c r="BP251" s="73">
        <f t="shared" ref="BP251" si="1132">COUNTIF($M$251,BO251)*$D$40</f>
        <v>0</v>
      </c>
      <c r="BQ251" s="64"/>
      <c r="BR251" s="74"/>
      <c r="BS251" s="73">
        <f t="shared" ref="BS251" si="1133">COUNTIF($M$251,BR251)*$D$40</f>
        <v>0</v>
      </c>
      <c r="BT251" s="64"/>
      <c r="BU251" s="74"/>
      <c r="BV251" s="73">
        <f t="shared" ref="BV251" si="1134">COUNTIF($M$251,BU251)*$D$40</f>
        <v>0</v>
      </c>
      <c r="BW251" s="64"/>
      <c r="BX251" s="74"/>
      <c r="BY251" s="73">
        <f t="shared" ref="BY251" si="1135">COUNTIF($M$251,BX251)*$D$40</f>
        <v>0</v>
      </c>
      <c r="BZ251" s="64"/>
      <c r="CA251" s="74"/>
      <c r="CB251" s="73">
        <f t="shared" ref="CB251" si="1136">COUNTIF($M$251,CA251)*$D$40</f>
        <v>0</v>
      </c>
      <c r="CC251" s="64"/>
      <c r="CD251" s="74"/>
      <c r="CE251" s="73">
        <f t="shared" ref="CE251" si="1137">COUNTIF($M$251,CD251)*$D$40</f>
        <v>0</v>
      </c>
      <c r="CF251" s="64"/>
      <c r="CG251" s="74"/>
      <c r="CH251" s="73">
        <f t="shared" ref="CH251" si="1138">COUNTIF($M$251,CG251)*$D$40</f>
        <v>0</v>
      </c>
      <c r="CI251" s="64"/>
      <c r="CJ251" s="74"/>
      <c r="CK251" s="73">
        <f t="shared" ref="CK251" si="1139">COUNTIF($M$251,CJ251)*$D$40</f>
        <v>0</v>
      </c>
      <c r="CL251" s="64"/>
      <c r="CM251" s="74"/>
      <c r="CN251" s="73">
        <f t="shared" ref="CN251" si="1140">COUNTIF($M$251,CM251)*$D$40</f>
        <v>0</v>
      </c>
      <c r="CO251" s="64"/>
      <c r="CP251" s="64"/>
    </row>
    <row r="252" spans="1:94" ht="16.05" customHeight="1">
      <c r="A252" s="17"/>
      <c r="B252" s="17"/>
      <c r="C252" s="17"/>
      <c r="D252" s="17"/>
      <c r="E252" s="89"/>
      <c r="F252" s="407">
        <f t="shared" si="1096"/>
        <v>8</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74</v>
      </c>
      <c r="T252" s="73">
        <f>COUNTIF($M$252,S252)*$D$41</f>
        <v>0</v>
      </c>
      <c r="U252" s="64"/>
      <c r="V252" s="74" t="s">
        <v>38</v>
      </c>
      <c r="W252" s="73">
        <f t="shared" ref="W252" si="1141">COUNTIF($M$252,V252)*$D$41</f>
        <v>0</v>
      </c>
      <c r="X252" s="64"/>
      <c r="Y252" s="74" t="s">
        <v>77</v>
      </c>
      <c r="Z252" s="73">
        <f t="shared" ref="Z252" si="1142">COUNTIF($M$252,Y252)*$D$41</f>
        <v>0</v>
      </c>
      <c r="AA252" s="64"/>
      <c r="AB252" s="74" t="s">
        <v>38</v>
      </c>
      <c r="AC252" s="73">
        <f>COUNTIF($M$252,AB252)*$D$41</f>
        <v>0</v>
      </c>
      <c r="AD252" s="64"/>
      <c r="AE252" s="74" t="s">
        <v>1321</v>
      </c>
      <c r="AF252" s="73">
        <f>COUNTIF($M$252,AE252)*$D$41</f>
        <v>0</v>
      </c>
      <c r="AG252" s="64"/>
      <c r="AH252" s="74" t="s">
        <v>74</v>
      </c>
      <c r="AI252" s="73">
        <f t="shared" ref="AI252" si="1143">COUNTIF($M$252,AH252)*$D$41</f>
        <v>0</v>
      </c>
      <c r="AJ252" s="64"/>
      <c r="AK252" s="74" t="s">
        <v>38</v>
      </c>
      <c r="AL252" s="73">
        <f t="shared" ref="AL252" si="1144">COUNTIF($M$252,AK252)*$D$41</f>
        <v>0</v>
      </c>
      <c r="AM252" s="64"/>
      <c r="AN252" s="74"/>
      <c r="AO252" s="73">
        <f t="shared" ref="AO252" si="1145">COUNTIF($M$252,AN252)*$D$41</f>
        <v>0</v>
      </c>
      <c r="AP252" s="64"/>
      <c r="AQ252" s="74"/>
      <c r="AR252" s="73">
        <f t="shared" ref="AR252" si="1146">COUNTIF($M$252,AQ252)*$D$41</f>
        <v>0</v>
      </c>
      <c r="AS252" s="64"/>
      <c r="AT252" s="74"/>
      <c r="AU252" s="73">
        <f t="shared" ref="AU252" si="1147">COUNTIF($M$252,AT252)*$D$41</f>
        <v>0</v>
      </c>
      <c r="AV252" s="64"/>
      <c r="AW252" s="74"/>
      <c r="AX252" s="73">
        <f t="shared" ref="AX252" si="1148">COUNTIF($M$252,AW252)*$D$41</f>
        <v>0</v>
      </c>
      <c r="AY252" s="64"/>
      <c r="AZ252" s="74"/>
      <c r="BA252" s="73">
        <f t="shared" ref="BA252" si="1149">COUNTIF($M$252,AZ252)*$D$41</f>
        <v>0</v>
      </c>
      <c r="BB252" s="64"/>
      <c r="BC252" s="74"/>
      <c r="BD252" s="73">
        <f t="shared" ref="BD252" si="1150">COUNTIF($M$252,BC252)*$D$41</f>
        <v>0</v>
      </c>
      <c r="BE252" s="64"/>
      <c r="BF252" s="74"/>
      <c r="BG252" s="73">
        <f t="shared" ref="BG252" si="1151">COUNTIF($M$252,BF252)*$D$41</f>
        <v>0</v>
      </c>
      <c r="BH252" s="64"/>
      <c r="BI252" s="74"/>
      <c r="BJ252" s="73">
        <f t="shared" ref="BJ252" si="1152">COUNTIF($M$252,BI252)*$D$41</f>
        <v>0</v>
      </c>
      <c r="BK252" s="64"/>
      <c r="BL252" s="74"/>
      <c r="BM252" s="73">
        <f t="shared" ref="BM252" si="1153">COUNTIF($M$252,BL252)*$D$41</f>
        <v>0</v>
      </c>
      <c r="BN252" s="64"/>
      <c r="BO252" s="74"/>
      <c r="BP252" s="73">
        <f t="shared" ref="BP252" si="1154">COUNTIF($M$252,BO252)*$D$41</f>
        <v>0</v>
      </c>
      <c r="BQ252" s="64"/>
      <c r="BR252" s="74"/>
      <c r="BS252" s="73">
        <f t="shared" ref="BS252" si="1155">COUNTIF($M$252,BR252)*$D$41</f>
        <v>0</v>
      </c>
      <c r="BT252" s="64"/>
      <c r="BU252" s="74"/>
      <c r="BV252" s="73">
        <f t="shared" ref="BV252" si="1156">COUNTIF($M$252,BU252)*$D$41</f>
        <v>0</v>
      </c>
      <c r="BW252" s="64"/>
      <c r="BX252" s="74"/>
      <c r="BY252" s="73">
        <f t="shared" ref="BY252" si="1157">COUNTIF($M$252,BX252)*$D$41</f>
        <v>0</v>
      </c>
      <c r="BZ252" s="64"/>
      <c r="CA252" s="74"/>
      <c r="CB252" s="73">
        <f t="shared" ref="CB252" si="1158">COUNTIF($M$252,CA252)*$D$41</f>
        <v>0</v>
      </c>
      <c r="CC252" s="64"/>
      <c r="CD252" s="74"/>
      <c r="CE252" s="73">
        <f t="shared" ref="CE252" si="1159">COUNTIF($M$252,CD252)*$D$41</f>
        <v>0</v>
      </c>
      <c r="CF252" s="64"/>
      <c r="CG252" s="74"/>
      <c r="CH252" s="73">
        <f t="shared" ref="CH252" si="1160">COUNTIF($M$252,CG252)*$D$41</f>
        <v>0</v>
      </c>
      <c r="CI252" s="64"/>
      <c r="CJ252" s="74"/>
      <c r="CK252" s="73">
        <f t="shared" ref="CK252" si="1161">COUNTIF($M$252,CJ252)*$D$41</f>
        <v>0</v>
      </c>
      <c r="CL252" s="64"/>
      <c r="CM252" s="74"/>
      <c r="CN252" s="73">
        <f t="shared" ref="CN252" si="1162">COUNTIF($M$252,CM252)*$D$41</f>
        <v>0</v>
      </c>
      <c r="CO252" s="64"/>
      <c r="CP252" s="64"/>
    </row>
    <row r="253" spans="1:94" ht="16.05" customHeight="1">
      <c r="A253" s="17"/>
      <c r="B253" s="17"/>
      <c r="C253" s="17"/>
      <c r="D253" s="17"/>
      <c r="E253" s="89"/>
      <c r="F253" s="407">
        <f t="shared" si="1096"/>
        <v>12</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1959</v>
      </c>
      <c r="T253" s="73">
        <f>COUNTIF($M$253,S253)*$D$42</f>
        <v>0</v>
      </c>
      <c r="U253" s="64"/>
      <c r="V253" s="74" t="s">
        <v>1959</v>
      </c>
      <c r="W253" s="73">
        <f t="shared" ref="W253" si="1163">COUNTIF($M$253,V253)*$D$42</f>
        <v>0</v>
      </c>
      <c r="X253" s="64"/>
      <c r="Y253" s="74" t="s">
        <v>1961</v>
      </c>
      <c r="Z253" s="73">
        <f t="shared" ref="Z253" si="1164">COUNTIF($M$253,Y253)*$D$42</f>
        <v>0</v>
      </c>
      <c r="AA253" s="64"/>
      <c r="AB253" s="74" t="s">
        <v>1963</v>
      </c>
      <c r="AC253" s="73">
        <f t="shared" ref="AC253" si="1165">COUNTIF($M$253,AB253)*$D$42</f>
        <v>0</v>
      </c>
      <c r="AD253" s="64"/>
      <c r="AE253" s="74" t="s">
        <v>1970</v>
      </c>
      <c r="AF253" s="73">
        <f t="shared" ref="AF253" si="1166">COUNTIF($M$253,AE253)*$D$42</f>
        <v>0</v>
      </c>
      <c r="AG253" s="64"/>
      <c r="AH253" s="74" t="s">
        <v>1961</v>
      </c>
      <c r="AI253" s="73">
        <f t="shared" ref="AI253" si="1167">COUNTIF($M$253,AH253)*$D$42</f>
        <v>0</v>
      </c>
      <c r="AJ253" s="64"/>
      <c r="AK253" s="74" t="s">
        <v>1963</v>
      </c>
      <c r="AL253" s="73">
        <f t="shared" ref="AL253" si="1168">COUNTIF($M$253,AK253)*$D$42</f>
        <v>0</v>
      </c>
      <c r="AM253" s="64"/>
      <c r="AN253" s="74" t="str">
        <f>Idiomas!$D$373</f>
        <v>Pegar Valores Cuadro de Honor</v>
      </c>
      <c r="AO253" s="73">
        <f t="shared" ref="AO253" si="1169">COUNTIF($M$253,AN253)*$D$42</f>
        <v>0</v>
      </c>
      <c r="AP253" s="64"/>
      <c r="AQ253" s="74" t="str">
        <f>Idiomas!$D$373</f>
        <v>Pegar Valores Cuadro de Honor</v>
      </c>
      <c r="AR253" s="73">
        <f t="shared" ref="AR253" si="1170">COUNTIF($M$253,AQ253)*$D$42</f>
        <v>0</v>
      </c>
      <c r="AS253" s="64"/>
      <c r="AT253" s="74" t="str">
        <f>Idiomas!$D$373</f>
        <v>Pegar Valores Cuadro de Honor</v>
      </c>
      <c r="AU253" s="73">
        <f t="shared" ref="AU253" si="1171">COUNTIF($M$253,AT253)*$D$42</f>
        <v>0</v>
      </c>
      <c r="AV253" s="64"/>
      <c r="AW253" s="74" t="str">
        <f>Idiomas!$D$373</f>
        <v>Pegar Valores Cuadro de Honor</v>
      </c>
      <c r="AX253" s="73">
        <f t="shared" ref="AX253" si="1172">COUNTIF($M$253,AW253)*$D$42</f>
        <v>0</v>
      </c>
      <c r="AY253" s="64"/>
      <c r="AZ253" s="74" t="str">
        <f>Idiomas!$D$373</f>
        <v>Pegar Valores Cuadro de Honor</v>
      </c>
      <c r="BA253" s="73">
        <f t="shared" ref="BA253" si="1173">COUNTIF($M$253,AZ253)*$D$42</f>
        <v>0</v>
      </c>
      <c r="BB253" s="64"/>
      <c r="BC253" s="74" t="str">
        <f>Idiomas!$D$373</f>
        <v>Pegar Valores Cuadro de Honor</v>
      </c>
      <c r="BD253" s="73">
        <f t="shared" ref="BD253" si="1174">COUNTIF($M$253,BC253)*$D$42</f>
        <v>0</v>
      </c>
      <c r="BE253" s="64"/>
      <c r="BF253" s="74" t="str">
        <f>Idiomas!$D$373</f>
        <v>Pegar Valores Cuadro de Honor</v>
      </c>
      <c r="BG253" s="73">
        <f t="shared" ref="BG253" si="1175">COUNTIF($M$253,BF253)*$D$42</f>
        <v>0</v>
      </c>
      <c r="BH253" s="64"/>
      <c r="BI253" s="74" t="str">
        <f>Idiomas!$D$373</f>
        <v>Pegar Valores Cuadro de Honor</v>
      </c>
      <c r="BJ253" s="73">
        <f t="shared" ref="BJ253" si="1176">COUNTIF($M$253,BI253)*$D$42</f>
        <v>0</v>
      </c>
      <c r="BK253" s="64"/>
      <c r="BL253" s="74" t="str">
        <f>Idiomas!$D$373</f>
        <v>Pegar Valores Cuadro de Honor</v>
      </c>
      <c r="BM253" s="73">
        <f t="shared" ref="BM253" si="1177">COUNTIF($M$253,BL253)*$D$42</f>
        <v>0</v>
      </c>
      <c r="BN253" s="64"/>
      <c r="BO253" s="74" t="str">
        <f>Idiomas!$D$373</f>
        <v>Pegar Valores Cuadro de Honor</v>
      </c>
      <c r="BP253" s="73">
        <f t="shared" ref="BP253" si="1178">COUNTIF($M$253,BO253)*$D$42</f>
        <v>0</v>
      </c>
      <c r="BQ253" s="64"/>
      <c r="BR253" s="74" t="str">
        <f>Idiomas!$D$373</f>
        <v>Pegar Valores Cuadro de Honor</v>
      </c>
      <c r="BS253" s="73">
        <f t="shared" ref="BS253" si="1179">COUNTIF($M$253,BR253)*$D$42</f>
        <v>0</v>
      </c>
      <c r="BT253" s="64"/>
      <c r="BU253" s="74" t="str">
        <f>Idiomas!$D$373</f>
        <v>Pegar Valores Cuadro de Honor</v>
      </c>
      <c r="BV253" s="73">
        <f t="shared" ref="BV253" si="1180">COUNTIF($M$253,BU253)*$D$42</f>
        <v>0</v>
      </c>
      <c r="BW253" s="64"/>
      <c r="BX253" s="74" t="str">
        <f>Idiomas!$D$373</f>
        <v>Pegar Valores Cuadro de Honor</v>
      </c>
      <c r="BY253" s="73">
        <f t="shared" ref="BY253" si="1181">COUNTIF($M$253,BX253)*$D$42</f>
        <v>0</v>
      </c>
      <c r="BZ253" s="64"/>
      <c r="CA253" s="74" t="str">
        <f>Idiomas!$D$373</f>
        <v>Pegar Valores Cuadro de Honor</v>
      </c>
      <c r="CB253" s="73">
        <f t="shared" ref="CB253" si="1182">COUNTIF($M$253,CA253)*$D$42</f>
        <v>0</v>
      </c>
      <c r="CC253" s="64"/>
      <c r="CD253" s="74" t="str">
        <f>Idiomas!$D$373</f>
        <v>Pegar Valores Cuadro de Honor</v>
      </c>
      <c r="CE253" s="73">
        <f t="shared" ref="CE253" si="1183">COUNTIF($M$253,CD253)*$D$42</f>
        <v>0</v>
      </c>
      <c r="CF253" s="64"/>
      <c r="CG253" s="74" t="str">
        <f>Idiomas!$D$373</f>
        <v>Pegar Valores Cuadro de Honor</v>
      </c>
      <c r="CH253" s="73">
        <f t="shared" ref="CH253" si="1184">COUNTIF($M$253,CG253)*$D$42</f>
        <v>0</v>
      </c>
      <c r="CI253" s="64"/>
      <c r="CJ253" s="74" t="str">
        <f>Idiomas!$D$373</f>
        <v>Pegar Valores Cuadro de Honor</v>
      </c>
      <c r="CK253" s="73">
        <f t="shared" ref="CK253" si="1185">COUNTIF($M$253,CJ253)*$D$42</f>
        <v>0</v>
      </c>
      <c r="CL253" s="64"/>
      <c r="CM253" s="74" t="str">
        <f>Idiomas!$D$373</f>
        <v>Pegar Valores Cuadro de Honor</v>
      </c>
      <c r="CN253" s="73">
        <f t="shared" ref="CN253" si="1186">COUNTIF($M$253,CM253)*$D$42</f>
        <v>0</v>
      </c>
      <c r="CO253" s="64"/>
      <c r="CP253" s="64"/>
    </row>
    <row r="254" spans="1:94" ht="16.05" customHeight="1">
      <c r="A254" s="17"/>
      <c r="B254" s="17"/>
      <c r="C254" s="17"/>
      <c r="D254" s="17"/>
      <c r="E254" s="89"/>
      <c r="F254" s="407">
        <f t="shared" si="1096"/>
        <v>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c r="T254" s="73">
        <f>COUNTIF($M$254,S254)*$D$43</f>
        <v>0</v>
      </c>
      <c r="U254" s="64"/>
      <c r="V254" s="74"/>
      <c r="W254" s="73">
        <f t="shared" ref="W254" si="1187">COUNTIF($M$254,V254)*$D$43</f>
        <v>0</v>
      </c>
      <c r="X254" s="64"/>
      <c r="Y254" s="74"/>
      <c r="Z254" s="73">
        <f t="shared" ref="Z254" si="1188">COUNTIF($M$254,Y254)*$D$43</f>
        <v>0</v>
      </c>
      <c r="AA254" s="64"/>
      <c r="AB254" s="74"/>
      <c r="AC254" s="73">
        <f t="shared" ref="AC254" si="1189">COUNTIF($M$254,AB254)*$D$43</f>
        <v>0</v>
      </c>
      <c r="AD254" s="64"/>
      <c r="AE254" s="74"/>
      <c r="AF254" s="73">
        <f t="shared" ref="AF254" si="1190">COUNTIF($M$254,AE254)*$D$43</f>
        <v>0</v>
      </c>
      <c r="AG254" s="64"/>
      <c r="AH254" s="74"/>
      <c r="AI254" s="73">
        <f t="shared" ref="AI254" si="1191">COUNTIF($M$254,AH254)*$D$43</f>
        <v>0</v>
      </c>
      <c r="AJ254" s="64"/>
      <c r="AK254" s="74"/>
      <c r="AL254" s="73">
        <f t="shared" ref="AL254" si="1192">COUNTIF($M$254,AK254)*$D$43</f>
        <v>0</v>
      </c>
      <c r="AM254" s="64"/>
      <c r="AN254" s="74"/>
      <c r="AO254" s="73">
        <f t="shared" ref="AO254" si="1193">COUNTIF($M$254,AN254)*$D$43</f>
        <v>0</v>
      </c>
      <c r="AP254" s="64"/>
      <c r="AQ254" s="74"/>
      <c r="AR254" s="73">
        <f t="shared" ref="AR254" si="1194">COUNTIF($M$254,AQ254)*$D$43</f>
        <v>0</v>
      </c>
      <c r="AS254" s="64"/>
      <c r="AT254" s="74"/>
      <c r="AU254" s="73">
        <f t="shared" ref="AU254" si="1195">COUNTIF($M$254,AT254)*$D$43</f>
        <v>0</v>
      </c>
      <c r="AV254" s="64"/>
      <c r="AW254" s="74"/>
      <c r="AX254" s="73">
        <f t="shared" ref="AX254" si="1196">COUNTIF($M$254,AW254)*$D$43</f>
        <v>0</v>
      </c>
      <c r="AY254" s="64"/>
      <c r="AZ254" s="74"/>
      <c r="BA254" s="73">
        <f t="shared" ref="BA254" si="1197">COUNTIF($M$254,AZ254)*$D$43</f>
        <v>0</v>
      </c>
      <c r="BB254" s="64"/>
      <c r="BC254" s="74"/>
      <c r="BD254" s="73">
        <f t="shared" ref="BD254" si="1198">COUNTIF($M$254,BC254)*$D$43</f>
        <v>0</v>
      </c>
      <c r="BE254" s="64"/>
      <c r="BF254" s="74"/>
      <c r="BG254" s="73">
        <f t="shared" ref="BG254" si="1199">COUNTIF($M$254,BF254)*$D$43</f>
        <v>0</v>
      </c>
      <c r="BH254" s="64"/>
      <c r="BI254" s="74"/>
      <c r="BJ254" s="73">
        <f t="shared" ref="BJ254" si="1200">COUNTIF($M$254,BI254)*$D$43</f>
        <v>0</v>
      </c>
      <c r="BK254" s="64"/>
      <c r="BL254" s="74"/>
      <c r="BM254" s="73">
        <f t="shared" ref="BM254" si="1201">COUNTIF($M$254,BL254)*$D$43</f>
        <v>0</v>
      </c>
      <c r="BN254" s="64"/>
      <c r="BO254" s="74"/>
      <c r="BP254" s="73">
        <f t="shared" ref="BP254" si="1202">COUNTIF($M$254,BO254)*$D$43</f>
        <v>0</v>
      </c>
      <c r="BQ254" s="64"/>
      <c r="BR254" s="74"/>
      <c r="BS254" s="73">
        <f t="shared" ref="BS254" si="1203">COUNTIF($M$254,BR254)*$D$43</f>
        <v>0</v>
      </c>
      <c r="BT254" s="64"/>
      <c r="BU254" s="74"/>
      <c r="BV254" s="73">
        <f t="shared" ref="BV254" si="1204">COUNTIF($M$254,BU254)*$D$43</f>
        <v>0</v>
      </c>
      <c r="BW254" s="64"/>
      <c r="BX254" s="74"/>
      <c r="BY254" s="73">
        <f t="shared" ref="BY254" si="1205">COUNTIF($M$254,BX254)*$D$43</f>
        <v>0</v>
      </c>
      <c r="BZ254" s="64"/>
      <c r="CA254" s="74"/>
      <c r="CB254" s="73">
        <f t="shared" ref="CB254" si="1206">COUNTIF($M$254,CA254)*$D$43</f>
        <v>0</v>
      </c>
      <c r="CC254" s="64"/>
      <c r="CD254" s="74"/>
      <c r="CE254" s="73">
        <f t="shared" ref="CE254" si="1207">COUNTIF($M$254,CD254)*$D$43</f>
        <v>0</v>
      </c>
      <c r="CF254" s="64"/>
      <c r="CG254" s="74"/>
      <c r="CH254" s="73">
        <f t="shared" ref="CH254" si="1208">COUNTIF($M$254,CG254)*$D$43</f>
        <v>0</v>
      </c>
      <c r="CI254" s="64"/>
      <c r="CJ254" s="74"/>
      <c r="CK254" s="73">
        <f t="shared" ref="CK254" si="1209">COUNTIF($M$254,CJ254)*$D$43</f>
        <v>0</v>
      </c>
      <c r="CL254" s="64"/>
      <c r="CM254" s="74"/>
      <c r="CN254" s="73">
        <f t="shared" ref="CN254" si="1210">COUNTIF($M$254,CM254)*$D$43</f>
        <v>0</v>
      </c>
      <c r="CO254" s="64"/>
      <c r="CP254" s="64"/>
    </row>
    <row r="255" spans="1:94" ht="16.05" customHeight="1">
      <c r="A255" s="17"/>
      <c r="B255" s="17"/>
      <c r="C255" s="17"/>
      <c r="D255" s="17"/>
      <c r="E255" s="89"/>
      <c r="F255" s="407">
        <f t="shared" si="1096"/>
        <v>0</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c r="T255" s="73">
        <f>COUNTIF($M$255,S255)*$D$44</f>
        <v>0</v>
      </c>
      <c r="U255" s="64"/>
      <c r="V255" s="74"/>
      <c r="W255" s="73">
        <f t="shared" ref="W255" si="1211">COUNTIF($M$255,V255)*$D$44</f>
        <v>0</v>
      </c>
      <c r="X255" s="64"/>
      <c r="Y255" s="74"/>
      <c r="Z255" s="73">
        <f t="shared" ref="Z255" si="1212">COUNTIF($M$255,Y255)*$D$44</f>
        <v>0</v>
      </c>
      <c r="AA255" s="64"/>
      <c r="AB255" s="74"/>
      <c r="AC255" s="73">
        <f t="shared" ref="AC255" si="1213">COUNTIF($M$255,AB255)*$D$44</f>
        <v>0</v>
      </c>
      <c r="AD255" s="64"/>
      <c r="AE255" s="74"/>
      <c r="AF255" s="73">
        <f t="shared" ref="AF255" si="1214">COUNTIF($M$255,AE255)*$D$44</f>
        <v>0</v>
      </c>
      <c r="AG255" s="64"/>
      <c r="AH255" s="74"/>
      <c r="AI255" s="73">
        <f t="shared" ref="AI255" si="1215">COUNTIF($M$255,AH255)*$D$44</f>
        <v>0</v>
      </c>
      <c r="AJ255" s="64"/>
      <c r="AK255" s="74"/>
      <c r="AL255" s="73">
        <f t="shared" ref="AL255" si="1216">COUNTIF($M$255,AK255)*$D$44</f>
        <v>0</v>
      </c>
      <c r="AM255" s="64"/>
      <c r="AN255" s="74"/>
      <c r="AO255" s="73">
        <f t="shared" ref="AO255" si="1217">COUNTIF($M$255,AN255)*$D$44</f>
        <v>0</v>
      </c>
      <c r="AP255" s="64"/>
      <c r="AQ255" s="74"/>
      <c r="AR255" s="73">
        <f t="shared" ref="AR255" si="1218">COUNTIF($M$255,AQ255)*$D$44</f>
        <v>0</v>
      </c>
      <c r="AS255" s="64"/>
      <c r="AT255" s="74"/>
      <c r="AU255" s="73">
        <f t="shared" ref="AU255" si="1219">COUNTIF($M$255,AT255)*$D$44</f>
        <v>0</v>
      </c>
      <c r="AV255" s="64"/>
      <c r="AW255" s="74"/>
      <c r="AX255" s="73">
        <f t="shared" ref="AX255" si="1220">COUNTIF($M$255,AW255)*$D$44</f>
        <v>0</v>
      </c>
      <c r="AY255" s="64"/>
      <c r="AZ255" s="74"/>
      <c r="BA255" s="73">
        <f t="shared" ref="BA255" si="1221">COUNTIF($M$255,AZ255)*$D$44</f>
        <v>0</v>
      </c>
      <c r="BB255" s="64"/>
      <c r="BC255" s="74"/>
      <c r="BD255" s="73">
        <f t="shared" ref="BD255" si="1222">COUNTIF($M$255,BC255)*$D$44</f>
        <v>0</v>
      </c>
      <c r="BE255" s="64"/>
      <c r="BF255" s="74"/>
      <c r="BG255" s="73">
        <f t="shared" ref="BG255" si="1223">COUNTIF($M$255,BF255)*$D$44</f>
        <v>0</v>
      </c>
      <c r="BH255" s="64"/>
      <c r="BI255" s="74"/>
      <c r="BJ255" s="73">
        <f t="shared" ref="BJ255" si="1224">COUNTIF($M$255,BI255)*$D$44</f>
        <v>0</v>
      </c>
      <c r="BK255" s="64"/>
      <c r="BL255" s="74"/>
      <c r="BM255" s="73">
        <f t="shared" ref="BM255" si="1225">COUNTIF($M$255,BL255)*$D$44</f>
        <v>0</v>
      </c>
      <c r="BN255" s="64"/>
      <c r="BO255" s="74"/>
      <c r="BP255" s="73">
        <f t="shared" ref="BP255" si="1226">COUNTIF($M$255,BO255)*$D$44</f>
        <v>0</v>
      </c>
      <c r="BQ255" s="64"/>
      <c r="BR255" s="74"/>
      <c r="BS255" s="73">
        <f t="shared" ref="BS255" si="1227">COUNTIF($M$255,BR255)*$D$44</f>
        <v>0</v>
      </c>
      <c r="BT255" s="64"/>
      <c r="BU255" s="74"/>
      <c r="BV255" s="73">
        <f t="shared" ref="BV255" si="1228">COUNTIF($M$255,BU255)*$D$44</f>
        <v>0</v>
      </c>
      <c r="BW255" s="64"/>
      <c r="BX255" s="74"/>
      <c r="BY255" s="73">
        <f t="shared" ref="BY255" si="1229">COUNTIF($M$255,BX255)*$D$44</f>
        <v>0</v>
      </c>
      <c r="BZ255" s="64"/>
      <c r="CA255" s="74"/>
      <c r="CB255" s="73">
        <f t="shared" ref="CB255" si="1230">COUNTIF($M$255,CA255)*$D$44</f>
        <v>0</v>
      </c>
      <c r="CC255" s="64"/>
      <c r="CD255" s="74"/>
      <c r="CE255" s="73">
        <f t="shared" ref="CE255" si="1231">COUNTIF($M$255,CD255)*$D$44</f>
        <v>0</v>
      </c>
      <c r="CF255" s="64"/>
      <c r="CG255" s="74"/>
      <c r="CH255" s="73">
        <f t="shared" ref="CH255" si="1232">COUNTIF($M$255,CG255)*$D$44</f>
        <v>0</v>
      </c>
      <c r="CI255" s="64"/>
      <c r="CJ255" s="74"/>
      <c r="CK255" s="73">
        <f t="shared" ref="CK255" si="1233">COUNTIF($M$255,CJ255)*$D$44</f>
        <v>0</v>
      </c>
      <c r="CL255" s="64"/>
      <c r="CM255" s="74"/>
      <c r="CN255" s="73">
        <f t="shared" ref="CN255" si="1234">COUNTIF($M$255,CM255)*$D$44</f>
        <v>0</v>
      </c>
      <c r="CO255" s="64"/>
      <c r="CP255" s="64"/>
    </row>
    <row r="256" spans="1:94" ht="16.05" customHeight="1">
      <c r="A256" s="17"/>
      <c r="B256" s="17"/>
      <c r="C256" s="17"/>
      <c r="D256" s="17"/>
      <c r="E256" s="89"/>
      <c r="F256" s="407">
        <f t="shared" si="1096"/>
        <v>12</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1960</v>
      </c>
      <c r="T256" s="73">
        <f>COUNTIF($M$256,S256)*$D$45</f>
        <v>0</v>
      </c>
      <c r="U256" s="64"/>
      <c r="V256" s="74" t="s">
        <v>1960</v>
      </c>
      <c r="W256" s="73">
        <f t="shared" ref="W256" si="1235">COUNTIF($M$256,V256)*$D$45</f>
        <v>0</v>
      </c>
      <c r="X256" s="64"/>
      <c r="Y256" s="74" t="s">
        <v>1962</v>
      </c>
      <c r="Z256" s="73">
        <f t="shared" ref="Z256" si="1236">COUNTIF($M$256,Y256)*$D$45</f>
        <v>0</v>
      </c>
      <c r="AA256" s="64"/>
      <c r="AB256" s="74" t="s">
        <v>1960</v>
      </c>
      <c r="AC256" s="73">
        <f t="shared" ref="AC256" si="1237">COUNTIF($M$256,AB256)*$D$45</f>
        <v>0</v>
      </c>
      <c r="AD256" s="64"/>
      <c r="AE256" s="74" t="s">
        <v>1960</v>
      </c>
      <c r="AF256" s="73">
        <f t="shared" ref="AF256" si="1238">COUNTIF($M$256,AE256)*$D$45</f>
        <v>0</v>
      </c>
      <c r="AG256" s="64"/>
      <c r="AH256" s="74" t="s">
        <v>1960</v>
      </c>
      <c r="AI256" s="73">
        <f t="shared" ref="AI256" si="1239">COUNTIF($M$256,AH256)*$D$45</f>
        <v>0</v>
      </c>
      <c r="AJ256" s="64"/>
      <c r="AK256" s="74" t="s">
        <v>1976</v>
      </c>
      <c r="AL256" s="73">
        <f t="shared" ref="AL256" si="1240">COUNTIF($M$256,AK256)*$D$45</f>
        <v>0</v>
      </c>
      <c r="AM256" s="64"/>
      <c r="AN256" s="74"/>
      <c r="AO256" s="73">
        <f t="shared" ref="AO256" si="1241">COUNTIF($M$256,AN256)*$D$45</f>
        <v>0</v>
      </c>
      <c r="AP256" s="64"/>
      <c r="AQ256" s="74"/>
      <c r="AR256" s="73">
        <f t="shared" ref="AR256" si="1242">COUNTIF($M$256,AQ256)*$D$45</f>
        <v>0</v>
      </c>
      <c r="AS256" s="64"/>
      <c r="AT256" s="74"/>
      <c r="AU256" s="73">
        <f t="shared" ref="AU256" si="1243">COUNTIF($M$256,AT256)*$D$45</f>
        <v>0</v>
      </c>
      <c r="AV256" s="64"/>
      <c r="AW256" s="74"/>
      <c r="AX256" s="73">
        <f t="shared" ref="AX256" si="1244">COUNTIF($M$256,AW256)*$D$45</f>
        <v>0</v>
      </c>
      <c r="AY256" s="64"/>
      <c r="AZ256" s="74"/>
      <c r="BA256" s="73">
        <f t="shared" ref="BA256" si="1245">COUNTIF($M$256,AZ256)*$D$45</f>
        <v>0</v>
      </c>
      <c r="BB256" s="64"/>
      <c r="BC256" s="74"/>
      <c r="BD256" s="73">
        <f t="shared" ref="BD256" si="1246">COUNTIF($M$256,BC256)*$D$45</f>
        <v>0</v>
      </c>
      <c r="BE256" s="64"/>
      <c r="BF256" s="74"/>
      <c r="BG256" s="73">
        <f t="shared" ref="BG256" si="1247">COUNTIF($M$256,BF256)*$D$45</f>
        <v>0</v>
      </c>
      <c r="BH256" s="64"/>
      <c r="BI256" s="74"/>
      <c r="BJ256" s="73">
        <f t="shared" ref="BJ256" si="1248">COUNTIF($M$256,BI256)*$D$45</f>
        <v>0</v>
      </c>
      <c r="BK256" s="64"/>
      <c r="BL256" s="74"/>
      <c r="BM256" s="73">
        <f t="shared" ref="BM256" si="1249">COUNTIF($M$256,BL256)*$D$45</f>
        <v>0</v>
      </c>
      <c r="BN256" s="64"/>
      <c r="BO256" s="74"/>
      <c r="BP256" s="73">
        <f t="shared" ref="BP256" si="1250">COUNTIF($M$256,BO256)*$D$45</f>
        <v>0</v>
      </c>
      <c r="BQ256" s="64"/>
      <c r="BR256" s="74"/>
      <c r="BS256" s="73">
        <f t="shared" ref="BS256" si="1251">COUNTIF($M$256,BR256)*$D$45</f>
        <v>0</v>
      </c>
      <c r="BT256" s="64"/>
      <c r="BU256" s="74"/>
      <c r="BV256" s="73">
        <f t="shared" ref="BV256" si="1252">COUNTIF($M$256,BU256)*$D$45</f>
        <v>0</v>
      </c>
      <c r="BW256" s="64"/>
      <c r="BX256" s="74"/>
      <c r="BY256" s="73">
        <f t="shared" ref="BY256" si="1253">COUNTIF($M$256,BX256)*$D$45</f>
        <v>0</v>
      </c>
      <c r="BZ256" s="64"/>
      <c r="CA256" s="74"/>
      <c r="CB256" s="73">
        <f t="shared" ref="CB256" si="1254">COUNTIF($M$256,CA256)*$D$45</f>
        <v>0</v>
      </c>
      <c r="CC256" s="64"/>
      <c r="CD256" s="74"/>
      <c r="CE256" s="73">
        <f t="shared" ref="CE256" si="1255">COUNTIF($M$256,CD256)*$D$45</f>
        <v>0</v>
      </c>
      <c r="CF256" s="64"/>
      <c r="CG256" s="74"/>
      <c r="CH256" s="73">
        <f t="shared" ref="CH256" si="1256">COUNTIF($M$256,CG256)*$D$45</f>
        <v>0</v>
      </c>
      <c r="CI256" s="64"/>
      <c r="CJ256" s="74"/>
      <c r="CK256" s="73">
        <f t="shared" ref="CK256" si="1257">COUNTIF($M$256,CJ256)*$D$45</f>
        <v>0</v>
      </c>
      <c r="CL256" s="64"/>
      <c r="CM256" s="74"/>
      <c r="CN256" s="73">
        <f t="shared" ref="CN256" si="1258">COUNTIF($M$256,CM256)*$D$45</f>
        <v>0</v>
      </c>
      <c r="CO256" s="64"/>
      <c r="CP256" s="64"/>
    </row>
    <row r="257" spans="1:94" ht="16.05" customHeight="1">
      <c r="A257" s="17"/>
      <c r="B257" s="17"/>
      <c r="C257" s="17"/>
      <c r="D257" s="17"/>
      <c r="E257" s="89"/>
      <c r="F257" s="407">
        <f t="shared" si="1096"/>
        <v>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c r="T257" s="73">
        <f>COUNTIF($M$257,S257)*$D$46</f>
        <v>0</v>
      </c>
      <c r="U257" s="64"/>
      <c r="V257" s="74"/>
      <c r="W257" s="73">
        <f t="shared" ref="W257" si="1259">COUNTIF($M$257,V257)*$D$46</f>
        <v>0</v>
      </c>
      <c r="X257" s="64"/>
      <c r="Y257" s="74"/>
      <c r="Z257" s="73">
        <f t="shared" ref="Z257" si="1260">COUNTIF($M$257,Y257)*$D$46</f>
        <v>0</v>
      </c>
      <c r="AA257" s="64"/>
      <c r="AB257" s="74"/>
      <c r="AC257" s="73">
        <f t="shared" ref="AC257" si="1261">COUNTIF($M$257,AB257)*$D$46</f>
        <v>0</v>
      </c>
      <c r="AD257" s="64"/>
      <c r="AE257" s="74"/>
      <c r="AF257" s="73">
        <f t="shared" ref="AF257" si="1262">COUNTIF($M$257,AE257)*$D$46</f>
        <v>0</v>
      </c>
      <c r="AG257" s="64"/>
      <c r="AH257" s="74"/>
      <c r="AI257" s="73">
        <f t="shared" ref="AI257" si="1263">COUNTIF($M$257,AH257)*$D$46</f>
        <v>0</v>
      </c>
      <c r="AJ257" s="64"/>
      <c r="AK257" s="74"/>
      <c r="AL257" s="73">
        <f t="shared" ref="AL257" si="1264">COUNTIF($M$257,AK257)*$D$46</f>
        <v>0</v>
      </c>
      <c r="AM257" s="64"/>
      <c r="AN257" s="74"/>
      <c r="AO257" s="73">
        <f t="shared" ref="AO257" si="1265">COUNTIF($M$257,AN257)*$D$46</f>
        <v>0</v>
      </c>
      <c r="AP257" s="64"/>
      <c r="AQ257" s="74"/>
      <c r="AR257" s="73">
        <f t="shared" ref="AR257" si="1266">COUNTIF($M$257,AQ257)*$D$46</f>
        <v>0</v>
      </c>
      <c r="AS257" s="64"/>
      <c r="AT257" s="74"/>
      <c r="AU257" s="73">
        <f t="shared" ref="AU257" si="1267">COUNTIF($M$257,AT257)*$D$46</f>
        <v>0</v>
      </c>
      <c r="AV257" s="64"/>
      <c r="AW257" s="74"/>
      <c r="AX257" s="73">
        <f t="shared" ref="AX257" si="1268">COUNTIF($M$257,AW257)*$D$46</f>
        <v>0</v>
      </c>
      <c r="AY257" s="64"/>
      <c r="AZ257" s="74"/>
      <c r="BA257" s="73">
        <f t="shared" ref="BA257" si="1269">COUNTIF($M$257,AZ257)*$D$46</f>
        <v>0</v>
      </c>
      <c r="BB257" s="64"/>
      <c r="BC257" s="74"/>
      <c r="BD257" s="73">
        <f t="shared" ref="BD257" si="1270">COUNTIF($M$257,BC257)*$D$46</f>
        <v>0</v>
      </c>
      <c r="BE257" s="64"/>
      <c r="BF257" s="74"/>
      <c r="BG257" s="73">
        <f t="shared" ref="BG257" si="1271">COUNTIF($M$257,BF257)*$D$46</f>
        <v>0</v>
      </c>
      <c r="BH257" s="64"/>
      <c r="BI257" s="74"/>
      <c r="BJ257" s="73">
        <f t="shared" ref="BJ257" si="1272">COUNTIF($M$257,BI257)*$D$46</f>
        <v>0</v>
      </c>
      <c r="BK257" s="64"/>
      <c r="BL257" s="74"/>
      <c r="BM257" s="73">
        <f t="shared" ref="BM257" si="1273">COUNTIF($M$257,BL257)*$D$46</f>
        <v>0</v>
      </c>
      <c r="BN257" s="64"/>
      <c r="BO257" s="74"/>
      <c r="BP257" s="73">
        <f t="shared" ref="BP257" si="1274">COUNTIF($M$257,BO257)*$D$46</f>
        <v>0</v>
      </c>
      <c r="BQ257" s="64"/>
      <c r="BR257" s="74"/>
      <c r="BS257" s="73">
        <f t="shared" ref="BS257" si="1275">COUNTIF($M$257,BR257)*$D$46</f>
        <v>0</v>
      </c>
      <c r="BT257" s="64"/>
      <c r="BU257" s="74"/>
      <c r="BV257" s="73">
        <f t="shared" ref="BV257" si="1276">COUNTIF($M$257,BU257)*$D$46</f>
        <v>0</v>
      </c>
      <c r="BW257" s="64"/>
      <c r="BX257" s="74"/>
      <c r="BY257" s="73">
        <f t="shared" ref="BY257" si="1277">COUNTIF($M$257,BX257)*$D$46</f>
        <v>0</v>
      </c>
      <c r="BZ257" s="64"/>
      <c r="CA257" s="74"/>
      <c r="CB257" s="73">
        <f t="shared" ref="CB257" si="1278">COUNTIF($M$257,CA257)*$D$46</f>
        <v>0</v>
      </c>
      <c r="CC257" s="64"/>
      <c r="CD257" s="74"/>
      <c r="CE257" s="73">
        <f t="shared" ref="CE257" si="1279">COUNTIF($M$257,CD257)*$D$46</f>
        <v>0</v>
      </c>
      <c r="CF257" s="64"/>
      <c r="CG257" s="74"/>
      <c r="CH257" s="73">
        <f t="shared" ref="CH257" si="1280">COUNTIF($M$257,CG257)*$D$46</f>
        <v>0</v>
      </c>
      <c r="CI257" s="64"/>
      <c r="CJ257" s="74"/>
      <c r="CK257" s="73">
        <f t="shared" ref="CK257" si="1281">COUNTIF($M$257,CJ257)*$D$46</f>
        <v>0</v>
      </c>
      <c r="CL257" s="64"/>
      <c r="CM257" s="74"/>
      <c r="CN257" s="73">
        <f t="shared" ref="CN257" si="1282">COUNTIF($M$257,CM257)*$D$46</f>
        <v>0</v>
      </c>
      <c r="CO257" s="64"/>
      <c r="CP257" s="64"/>
    </row>
    <row r="258" spans="1:94" ht="16.05" customHeight="1">
      <c r="A258" s="17"/>
      <c r="B258" s="17"/>
      <c r="C258" s="17"/>
      <c r="D258" s="17"/>
      <c r="E258" s="89"/>
      <c r="F258" s="407">
        <f t="shared" si="1096"/>
        <v>0</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c r="T258" s="81">
        <f>COUNTIF($M$258,S258)*$D$47</f>
        <v>0</v>
      </c>
      <c r="U258" s="64"/>
      <c r="V258" s="80"/>
      <c r="W258" s="81">
        <f t="shared" ref="W258" si="1283">COUNTIF($M$258,V258)*$D$47</f>
        <v>0</v>
      </c>
      <c r="X258" s="64"/>
      <c r="Y258" s="80"/>
      <c r="Z258" s="81">
        <f t="shared" ref="Z258" si="1284">COUNTIF($M$258,Y258)*$D$47</f>
        <v>0</v>
      </c>
      <c r="AA258" s="64"/>
      <c r="AB258" s="80"/>
      <c r="AC258" s="81">
        <f t="shared" ref="AC258" si="1285">COUNTIF($M$258,AB258)*$D$47</f>
        <v>0</v>
      </c>
      <c r="AD258" s="64"/>
      <c r="AE258" s="80"/>
      <c r="AF258" s="81">
        <f t="shared" ref="AF258" si="1286">COUNTIF($M$258,AE258)*$D$47</f>
        <v>0</v>
      </c>
      <c r="AG258" s="64"/>
      <c r="AH258" s="80"/>
      <c r="AI258" s="81">
        <f t="shared" ref="AI258" si="1287">COUNTIF($M$258,AH258)*$D$47</f>
        <v>0</v>
      </c>
      <c r="AJ258" s="64"/>
      <c r="AK258" s="80"/>
      <c r="AL258" s="81">
        <f t="shared" ref="AL258" si="1288">COUNTIF($M$258,AK258)*$D$47</f>
        <v>0</v>
      </c>
      <c r="AM258" s="64"/>
      <c r="AN258" s="80"/>
      <c r="AO258" s="81">
        <f t="shared" ref="AO258" si="1289">COUNTIF($M$258,AN258)*$D$47</f>
        <v>0</v>
      </c>
      <c r="AP258" s="64"/>
      <c r="AQ258" s="80"/>
      <c r="AR258" s="81">
        <f t="shared" ref="AR258" si="1290">COUNTIF($M$258,AQ258)*$D$47</f>
        <v>0</v>
      </c>
      <c r="AS258" s="64"/>
      <c r="AT258" s="80"/>
      <c r="AU258" s="81">
        <f t="shared" ref="AU258" si="1291">COUNTIF($M$258,AT258)*$D$47</f>
        <v>0</v>
      </c>
      <c r="AV258" s="64"/>
      <c r="AW258" s="80"/>
      <c r="AX258" s="81">
        <f t="shared" ref="AX258" si="1292">COUNTIF($M$258,AW258)*$D$47</f>
        <v>0</v>
      </c>
      <c r="AY258" s="64"/>
      <c r="AZ258" s="80"/>
      <c r="BA258" s="81">
        <f t="shared" ref="BA258" si="1293">COUNTIF($M$258,AZ258)*$D$47</f>
        <v>0</v>
      </c>
      <c r="BB258" s="64"/>
      <c r="BC258" s="80"/>
      <c r="BD258" s="81">
        <f t="shared" ref="BD258" si="1294">COUNTIF($M$258,BC258)*$D$47</f>
        <v>0</v>
      </c>
      <c r="BE258" s="64"/>
      <c r="BF258" s="80"/>
      <c r="BG258" s="81">
        <f t="shared" ref="BG258" si="1295">COUNTIF($M$258,BF258)*$D$47</f>
        <v>0</v>
      </c>
      <c r="BH258" s="64"/>
      <c r="BI258" s="80"/>
      <c r="BJ258" s="81">
        <f t="shared" ref="BJ258" si="1296">COUNTIF($M$258,BI258)*$D$47</f>
        <v>0</v>
      </c>
      <c r="BK258" s="64"/>
      <c r="BL258" s="80"/>
      <c r="BM258" s="81">
        <f t="shared" ref="BM258" si="1297">COUNTIF($M$258,BL258)*$D$47</f>
        <v>0</v>
      </c>
      <c r="BN258" s="64"/>
      <c r="BO258" s="80"/>
      <c r="BP258" s="81">
        <f t="shared" ref="BP258" si="1298">COUNTIF($M$258,BO258)*$D$47</f>
        <v>0</v>
      </c>
      <c r="BQ258" s="64"/>
      <c r="BR258" s="80"/>
      <c r="BS258" s="81">
        <f t="shared" ref="BS258" si="1299">COUNTIF($M$258,BR258)*$D$47</f>
        <v>0</v>
      </c>
      <c r="BT258" s="64"/>
      <c r="BU258" s="80"/>
      <c r="BV258" s="81">
        <f t="shared" ref="BV258" si="1300">COUNTIF($M$258,BU258)*$D$47</f>
        <v>0</v>
      </c>
      <c r="BW258" s="64"/>
      <c r="BX258" s="80"/>
      <c r="BY258" s="81">
        <f t="shared" ref="BY258" si="1301">COUNTIF($M$258,BX258)*$D$47</f>
        <v>0</v>
      </c>
      <c r="BZ258" s="64"/>
      <c r="CA258" s="80"/>
      <c r="CB258" s="81">
        <f t="shared" ref="CB258" si="1302">COUNTIF($M$258,CA258)*$D$47</f>
        <v>0</v>
      </c>
      <c r="CC258" s="64"/>
      <c r="CD258" s="80"/>
      <c r="CE258" s="81">
        <f t="shared" ref="CE258" si="1303">COUNTIF($M$258,CD258)*$D$47</f>
        <v>0</v>
      </c>
      <c r="CF258" s="64"/>
      <c r="CG258" s="80"/>
      <c r="CH258" s="81">
        <f t="shared" ref="CH258" si="1304">COUNTIF($M$258,CG258)*$D$47</f>
        <v>0</v>
      </c>
      <c r="CI258" s="64"/>
      <c r="CJ258" s="80"/>
      <c r="CK258" s="81">
        <f t="shared" ref="CK258" si="1305">COUNTIF($M$258,CJ258)*$D$47</f>
        <v>0</v>
      </c>
      <c r="CL258" s="64"/>
      <c r="CM258" s="80"/>
      <c r="CN258" s="81">
        <f t="shared" ref="CN258" si="130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104</v>
      </c>
      <c r="N259" s="19"/>
      <c r="O259" s="19"/>
      <c r="P259" s="19"/>
      <c r="Q259" s="19"/>
      <c r="R259" s="297"/>
      <c r="S259" s="71"/>
      <c r="T259" s="71">
        <f>SUM(T250:T258)</f>
        <v>0</v>
      </c>
      <c r="U259" s="65"/>
      <c r="V259" s="71"/>
      <c r="W259" s="71">
        <f t="shared" ref="W259" si="1307">SUM(W250:W258)</f>
        <v>0</v>
      </c>
      <c r="X259" s="65"/>
      <c r="Y259" s="71"/>
      <c r="Z259" s="71">
        <f t="shared" ref="Z259" si="1308">SUM(Z250:Z258)</f>
        <v>0</v>
      </c>
      <c r="AA259" s="65"/>
      <c r="AB259" s="71"/>
      <c r="AC259" s="71">
        <f t="shared" ref="AC259" si="1309">SUM(AC250:AC258)</f>
        <v>0</v>
      </c>
      <c r="AD259" s="65"/>
      <c r="AE259" s="71"/>
      <c r="AF259" s="71">
        <f t="shared" ref="AF259" si="1310">SUM(AF250:AF258)</f>
        <v>0</v>
      </c>
      <c r="AG259" s="65"/>
      <c r="AH259" s="71"/>
      <c r="AI259" s="71">
        <f t="shared" ref="AI259" si="1311">SUM(AI250:AI258)</f>
        <v>0</v>
      </c>
      <c r="AJ259" s="65"/>
      <c r="AK259" s="71"/>
      <c r="AL259" s="71">
        <f t="shared" ref="AL259" si="1312">SUM(AL250:AL258)</f>
        <v>0</v>
      </c>
      <c r="AM259" s="65"/>
      <c r="AN259" s="71"/>
      <c r="AO259" s="71">
        <f t="shared" ref="AO259" si="1313">SUM(AO250:AO258)</f>
        <v>0</v>
      </c>
      <c r="AP259" s="65"/>
      <c r="AQ259" s="71"/>
      <c r="AR259" s="71">
        <f t="shared" ref="AR259" si="1314">SUM(AR250:AR258)</f>
        <v>0</v>
      </c>
      <c r="AS259" s="65"/>
      <c r="AT259" s="71"/>
      <c r="AU259" s="71">
        <f t="shared" ref="AU259" si="1315">SUM(AU250:AU258)</f>
        <v>0</v>
      </c>
      <c r="AV259" s="65"/>
      <c r="AW259" s="71"/>
      <c r="AX259" s="71">
        <f t="shared" ref="AX259" si="1316">SUM(AX250:AX258)</f>
        <v>0</v>
      </c>
      <c r="AY259" s="65"/>
      <c r="AZ259" s="71"/>
      <c r="BA259" s="71">
        <f t="shared" ref="BA259" si="1317">SUM(BA250:BA258)</f>
        <v>0</v>
      </c>
      <c r="BB259" s="65"/>
      <c r="BC259" s="71"/>
      <c r="BD259" s="71">
        <f t="shared" ref="BD259" si="1318">SUM(BD250:BD258)</f>
        <v>0</v>
      </c>
      <c r="BE259" s="65"/>
      <c r="BF259" s="71"/>
      <c r="BG259" s="71">
        <f t="shared" ref="BG259" si="1319">SUM(BG250:BG258)</f>
        <v>0</v>
      </c>
      <c r="BH259" s="65"/>
      <c r="BI259" s="71"/>
      <c r="BJ259" s="71">
        <f t="shared" ref="BJ259" si="1320">SUM(BJ250:BJ258)</f>
        <v>0</v>
      </c>
      <c r="BK259" s="65"/>
      <c r="BL259" s="71"/>
      <c r="BM259" s="71">
        <f t="shared" ref="BM259" si="1321">SUM(BM250:BM258)</f>
        <v>0</v>
      </c>
      <c r="BN259" s="65"/>
      <c r="BO259" s="71"/>
      <c r="BP259" s="71">
        <f t="shared" ref="BP259" si="1322">SUM(BP250:BP258)</f>
        <v>0</v>
      </c>
      <c r="BQ259" s="65"/>
      <c r="BR259" s="71"/>
      <c r="BS259" s="71">
        <f t="shared" ref="BS259" si="1323">SUM(BS250:BS258)</f>
        <v>0</v>
      </c>
      <c r="BT259" s="65"/>
      <c r="BU259" s="71"/>
      <c r="BV259" s="71">
        <f t="shared" ref="BV259" si="1324">SUM(BV250:BV258)</f>
        <v>0</v>
      </c>
      <c r="BW259" s="65"/>
      <c r="BX259" s="71"/>
      <c r="BY259" s="71">
        <f t="shared" ref="BY259" si="1325">SUM(BY250:BY258)</f>
        <v>0</v>
      </c>
      <c r="BZ259" s="65"/>
      <c r="CA259" s="71"/>
      <c r="CB259" s="71">
        <f t="shared" ref="CB259" si="1326">SUM(CB250:CB258)</f>
        <v>0</v>
      </c>
      <c r="CC259" s="65"/>
      <c r="CD259" s="71"/>
      <c r="CE259" s="71">
        <f t="shared" ref="CE259" si="1327">SUM(CE250:CE258)</f>
        <v>0</v>
      </c>
      <c r="CF259" s="65"/>
      <c r="CG259" s="71"/>
      <c r="CH259" s="71">
        <f t="shared" ref="CH259" si="1328">SUM(CH250:CH258)</f>
        <v>0</v>
      </c>
      <c r="CI259" s="65"/>
      <c r="CJ259" s="71"/>
      <c r="CK259" s="71">
        <f t="shared" ref="CK259" si="1329">SUM(CK250:CK258)</f>
        <v>0</v>
      </c>
      <c r="CL259" s="65"/>
      <c r="CM259" s="71"/>
      <c r="CN259" s="71">
        <f t="shared" ref="CN259" si="133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2</v>
      </c>
      <c r="T263" s="25"/>
      <c r="U263" s="25"/>
      <c r="V263" s="25">
        <f ca="1">RANK(V264,OFFSET($S$264,0,0,1,$D$5*3),0)</f>
        <v>1</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4.9981</v>
      </c>
      <c r="T264" s="25"/>
      <c r="U264" s="25"/>
      <c r="V264" s="25">
        <f t="shared" ref="V264" ca="1" si="1331">V266-(COLUMN()/10000)</f>
        <v>6.9977999999999998</v>
      </c>
      <c r="W264" s="25"/>
      <c r="X264" s="25"/>
      <c r="Y264" s="25">
        <f t="shared" ref="Y264" ca="1" si="1332">Y266-(COLUMN()/10000)</f>
        <v>4.9974999999999996</v>
      </c>
      <c r="Z264" s="25"/>
      <c r="AA264" s="25"/>
      <c r="AB264" s="25">
        <f t="shared" ref="AB264" ca="1" si="1333">AB266-(COLUMN()/10000)</f>
        <v>4.9972000000000003</v>
      </c>
      <c r="AC264" s="25"/>
      <c r="AD264" s="25"/>
      <c r="AE264" s="25">
        <f t="shared" ref="AE264" ca="1" si="1334">AE266-(COLUMN()/10000)</f>
        <v>4.9969000000000001</v>
      </c>
      <c r="AF264" s="25"/>
      <c r="AG264" s="25"/>
      <c r="AH264" s="25">
        <f t="shared" ref="AH264" ca="1" si="1335">AH266-(COLUMN()/10000)</f>
        <v>4.9965999999999999</v>
      </c>
      <c r="AI264" s="25"/>
      <c r="AJ264" s="25"/>
      <c r="AK264" s="25">
        <f t="shared" ref="AK264" ca="1" si="1336">AK266-(COLUMN()/10000)</f>
        <v>4.9962999999999997</v>
      </c>
      <c r="AL264" s="25"/>
      <c r="AM264" s="25"/>
      <c r="AN264" s="25">
        <f t="shared" ref="AN264" ca="1" si="1337">AN266-(COLUMN()/10000)</f>
        <v>-4.0000000000000001E-3</v>
      </c>
      <c r="AO264" s="25"/>
      <c r="AP264" s="25"/>
      <c r="AQ264" s="25">
        <f t="shared" ref="AQ264" ca="1" si="1338">AQ266-(COLUMN()/10000)</f>
        <v>-4.3E-3</v>
      </c>
      <c r="AR264" s="25"/>
      <c r="AS264" s="25"/>
      <c r="AT264" s="25">
        <f t="shared" ref="AT264" ca="1" si="1339">AT266-(COLUMN()/10000)</f>
        <v>-4.5999999999999999E-3</v>
      </c>
      <c r="AU264" s="25"/>
      <c r="AV264" s="25"/>
      <c r="AW264" s="25">
        <f t="shared" ref="AW264" ca="1" si="1340">AW266-(COLUMN()/10000)</f>
        <v>-4.8999999999999998E-3</v>
      </c>
      <c r="AX264" s="25"/>
      <c r="AY264" s="25"/>
      <c r="AZ264" s="25">
        <f t="shared" ref="AZ264" ca="1" si="1341">AZ266-(COLUMN()/10000)</f>
        <v>-5.1999999999999998E-3</v>
      </c>
      <c r="BA264" s="25"/>
      <c r="BB264" s="25"/>
      <c r="BC264" s="25">
        <f t="shared" ref="BC264" ca="1" si="1342">BC266-(COLUMN()/10000)</f>
        <v>-5.4999999999999997E-3</v>
      </c>
      <c r="BD264" s="25"/>
      <c r="BE264" s="25"/>
      <c r="BF264" s="25">
        <f t="shared" ref="BF264" ca="1" si="1343">BF266-(COLUMN()/10000)</f>
        <v>-5.7999999999999996E-3</v>
      </c>
      <c r="BG264" s="25"/>
      <c r="BH264" s="25"/>
      <c r="BI264" s="25">
        <f t="shared" ref="BI264" ca="1" si="1344">BI266-(COLUMN()/10000)</f>
        <v>-6.1000000000000004E-3</v>
      </c>
      <c r="BJ264" s="25"/>
      <c r="BK264" s="25"/>
      <c r="BL264" s="25">
        <f t="shared" ref="BL264" ca="1" si="1345">BL266-(COLUMN()/10000)</f>
        <v>-6.4000000000000003E-3</v>
      </c>
      <c r="BM264" s="25"/>
      <c r="BN264" s="25"/>
      <c r="BO264" s="25">
        <f t="shared" ref="BO264" ca="1" si="1346">BO266-(COLUMN()/10000)</f>
        <v>-6.7000000000000002E-3</v>
      </c>
      <c r="BP264" s="25"/>
      <c r="BQ264" s="25"/>
      <c r="BR264" s="25">
        <f t="shared" ref="BR264" ca="1" si="1347">BR266-(COLUMN()/10000)</f>
        <v>-7.0000000000000001E-3</v>
      </c>
      <c r="BS264" s="25"/>
      <c r="BT264" s="25"/>
      <c r="BU264" s="25">
        <f t="shared" ref="BU264" ca="1" si="1348">BU266-(COLUMN()/10000)</f>
        <v>-7.3000000000000001E-3</v>
      </c>
      <c r="BV264" s="25"/>
      <c r="BW264" s="25"/>
      <c r="BX264" s="25">
        <f t="shared" ref="BX264" ca="1" si="1349">BX266-(COLUMN()/10000)</f>
        <v>-7.6E-3</v>
      </c>
      <c r="BY264" s="25"/>
      <c r="BZ264" s="25"/>
      <c r="CA264" s="25">
        <f t="shared" ref="CA264" ca="1" si="1350">CA266-(COLUMN()/10000)</f>
        <v>-7.9000000000000008E-3</v>
      </c>
      <c r="CB264" s="25"/>
      <c r="CC264" s="25"/>
      <c r="CD264" s="25">
        <f t="shared" ref="CD264" ca="1" si="1351">CD266-(COLUMN()/10000)</f>
        <v>-8.2000000000000007E-3</v>
      </c>
      <c r="CE264" s="25"/>
      <c r="CF264" s="25"/>
      <c r="CG264" s="25">
        <f t="shared" ref="CG264" ca="1" si="1352">CG266-(COLUMN()/10000)</f>
        <v>-8.5000000000000006E-3</v>
      </c>
      <c r="CH264" s="25"/>
      <c r="CI264" s="25"/>
      <c r="CJ264" s="25">
        <f t="shared" ref="CJ264" ca="1" si="1353">CJ266-(COLUMN()/10000)</f>
        <v>-8.8000000000000005E-3</v>
      </c>
      <c r="CK264" s="25"/>
      <c r="CL264" s="25"/>
      <c r="CM264" s="25">
        <f t="shared" ref="CM264" ca="1" si="135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2</v>
      </c>
      <c r="T265" s="25"/>
      <c r="U265" s="25"/>
      <c r="V265" s="25">
        <f ca="1">RANK(V266,OFFSET($S$266,0,0,1,$D$5*3),0)</f>
        <v>1</v>
      </c>
      <c r="W265" s="25"/>
      <c r="X265" s="25"/>
      <c r="Y265" s="25">
        <f ca="1">RANK(Y266,OFFSET($S$266,0,0,1,$D$5*3),0)</f>
        <v>2</v>
      </c>
      <c r="Z265" s="25"/>
      <c r="AA265" s="25"/>
      <c r="AB265" s="25">
        <f ca="1">RANK(AB266,OFFSET($S$266,0,0,1,$D$5*3),0)</f>
        <v>2</v>
      </c>
      <c r="AC265" s="25"/>
      <c r="AD265" s="25"/>
      <c r="AE265" s="25">
        <f ca="1">RANK(AE266,OFFSET($S$266,0,0,1,$D$5*3),0)</f>
        <v>2</v>
      </c>
      <c r="AF265" s="25"/>
      <c r="AG265" s="25"/>
      <c r="AH265" s="25">
        <f ca="1">RANK(AH266,OFFSET($S$266,0,0,1,$D$5*3),0)</f>
        <v>2</v>
      </c>
      <c r="AI265" s="25"/>
      <c r="AJ265" s="25"/>
      <c r="AK265" s="25">
        <f ca="1">RANK(AK266,OFFSET($S$266,0,0,1,$D$5*3),0)</f>
        <v>2</v>
      </c>
      <c r="AL265" s="25"/>
      <c r="AM265" s="25"/>
      <c r="AN265" s="25" t="e">
        <f ca="1">RANK(AN266,OFFSET($S$266,0,0,1,$D$5*3),0)</f>
        <v>#N/A</v>
      </c>
      <c r="AO265" s="25"/>
      <c r="AP265" s="25"/>
      <c r="AQ265" s="25" t="e">
        <f ca="1">RANK(AQ266,OFFSET($S$266,0,0,1,$D$5*3),0)</f>
        <v>#N/A</v>
      </c>
      <c r="AR265" s="25"/>
      <c r="AS265" s="25"/>
      <c r="AT265" s="25" t="e">
        <f ca="1">RANK(AT266,OFFSET($S$266,0,0,1,$D$5*3),0)</f>
        <v>#N/A</v>
      </c>
      <c r="AU265" s="25"/>
      <c r="AV265" s="25"/>
      <c r="AW265" s="25" t="e">
        <f ca="1">RANK(AW266,OFFSET($S$266,0,0,1,$D$5*3),0)</f>
        <v>#N/A</v>
      </c>
      <c r="AX265" s="25"/>
      <c r="AY265" s="25"/>
      <c r="AZ265" s="25" t="e">
        <f ca="1">RANK(AZ266,OFFSET($S$266,0,0,1,$D$5*3),0)</f>
        <v>#N/A</v>
      </c>
      <c r="BA265" s="25"/>
      <c r="BB265" s="25"/>
      <c r="BC265" s="25" t="e">
        <f ca="1">RANK(BC266,OFFSET($S$266,0,0,1,$D$5*3),0)</f>
        <v>#N/A</v>
      </c>
      <c r="BD265" s="25"/>
      <c r="BE265" s="25"/>
      <c r="BF265" s="25" t="e">
        <f ca="1">RANK(BF266,OFFSET($S$266,0,0,1,$D$5*3),0)</f>
        <v>#N/A</v>
      </c>
      <c r="BG265" s="25"/>
      <c r="BH265" s="25"/>
      <c r="BI265" s="25" t="e">
        <f ca="1">RANK(BI266,OFFSET($S$266,0,0,1,$D$5*3),0)</f>
        <v>#N/A</v>
      </c>
      <c r="BJ265" s="25"/>
      <c r="BK265" s="25"/>
      <c r="BL265" s="25" t="e">
        <f ca="1">RANK(BL266,OFFSET($S$266,0,0,1,$D$5*3),0)</f>
        <v>#N/A</v>
      </c>
      <c r="BM265" s="25"/>
      <c r="BN265" s="25"/>
      <c r="BO265" s="25" t="e">
        <f ca="1">RANK(BO266,OFFSET($S$266,0,0,1,$D$5*3),0)</f>
        <v>#N/A</v>
      </c>
      <c r="BP265" s="25"/>
      <c r="BQ265" s="25"/>
      <c r="BR265" s="25" t="e">
        <f ca="1">RANK(BR266,OFFSET($S$266,0,0,1,$D$5*3),0)</f>
        <v>#N/A</v>
      </c>
      <c r="BS265" s="25"/>
      <c r="BT265" s="25"/>
      <c r="BU265" s="25" t="e">
        <f ca="1">RANK(BU266,OFFSET($S$266,0,0,1,$D$5*3),0)</f>
        <v>#N/A</v>
      </c>
      <c r="BV265" s="25"/>
      <c r="BW265" s="25"/>
      <c r="BX265" s="25" t="e">
        <f ca="1">RANK(BX266,OFFSET($S$266,0,0,1,$D$5*3),0)</f>
        <v>#N/A</v>
      </c>
      <c r="BY265" s="25"/>
      <c r="BZ265" s="25"/>
      <c r="CA265" s="25" t="e">
        <f ca="1">RANK(CA266,OFFSET($S$266,0,0,1,$D$5*3),0)</f>
        <v>#N/A</v>
      </c>
      <c r="CB265" s="25"/>
      <c r="CC265" s="25"/>
      <c r="CD265" s="25" t="e">
        <f ca="1">RANK(CD266,OFFSET($S$266,0,0,1,$D$5*3),0)</f>
        <v>#N/A</v>
      </c>
      <c r="CE265" s="25"/>
      <c r="CF265" s="25"/>
      <c r="CG265" s="25" t="e">
        <f ca="1">RANK(CG266,OFFSET($S$266,0,0,1,$D$5*3),0)</f>
        <v>#N/A</v>
      </c>
      <c r="CH265" s="25"/>
      <c r="CI265" s="25"/>
      <c r="CJ265" s="25" t="e">
        <f ca="1">RANK(CJ266,OFFSET($S$266,0,0,1,$D$5*3),0)</f>
        <v>#N/A</v>
      </c>
      <c r="CK265" s="25"/>
      <c r="CL265" s="25"/>
      <c r="CM265" s="25" t="e">
        <f ca="1">RANK(CM266,OFFSET($S$266,0,0,1,$D$5*3),0)</f>
        <v>#N/A</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5</v>
      </c>
      <c r="T266" s="25"/>
      <c r="U266" s="25"/>
      <c r="V266" s="25">
        <f ca="1">SUMIFS((W6:W259),$H$6:$H$259,$M$262)</f>
        <v>7</v>
      </c>
      <c r="W266" s="25"/>
      <c r="X266" s="25"/>
      <c r="Y266" s="25">
        <f ca="1">SUMIFS((Z6:Z259),$H$6:$H$259,$M$262)</f>
        <v>5</v>
      </c>
      <c r="Z266" s="25"/>
      <c r="AA266" s="25"/>
      <c r="AB266" s="25">
        <f ca="1">SUMIFS((AC6:AC259),$H$6:$H$259,$M$262)</f>
        <v>5</v>
      </c>
      <c r="AC266" s="25"/>
      <c r="AD266" s="25"/>
      <c r="AE266" s="25">
        <f ca="1">SUMIFS((AF6:AF259),$H$6:$H$259,$M$262)</f>
        <v>5</v>
      </c>
      <c r="AF266" s="25"/>
      <c r="AG266" s="25"/>
      <c r="AH266" s="25">
        <f ca="1">SUMIFS((AI6:AI259),$H$6:$H$259,$M$262)</f>
        <v>5</v>
      </c>
      <c r="AI266" s="25"/>
      <c r="AJ266" s="25"/>
      <c r="AK266" s="25">
        <f ca="1">SUMIFS((AL6:AL259),$H$6:$H$259,$M$262)</f>
        <v>5</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LUIS DPM</v>
      </c>
      <c r="T267" s="25"/>
      <c r="U267" s="25"/>
      <c r="V267" s="25" t="str">
        <f t="shared" ref="V267" si="1355">V5</f>
        <v>EL MATO</v>
      </c>
      <c r="W267" s="25"/>
      <c r="X267" s="25"/>
      <c r="Y267" s="25" t="str">
        <f t="shared" ref="Y267" si="1356">Y5</f>
        <v>IVÁN DELGADO</v>
      </c>
      <c r="Z267" s="25"/>
      <c r="AA267" s="25"/>
      <c r="AB267" s="25" t="str">
        <f t="shared" ref="AB267" si="1357">AB5</f>
        <v>ADRIÁN</v>
      </c>
      <c r="AC267" s="25"/>
      <c r="AD267" s="25"/>
      <c r="AE267" s="25" t="str">
        <f t="shared" ref="AE267" si="1358">AE5</f>
        <v>JUAN</v>
      </c>
      <c r="AF267" s="25"/>
      <c r="AG267" s="25"/>
      <c r="AH267" s="25" t="str">
        <f t="shared" ref="AH267" si="1359">AH5</f>
        <v>CARLOS</v>
      </c>
      <c r="AI267" s="25"/>
      <c r="AJ267" s="25"/>
      <c r="AK267" s="25" t="str">
        <f t="shared" ref="AK267" si="1360">AK5</f>
        <v>SU FLORENTINEZA</v>
      </c>
      <c r="AL267" s="25"/>
      <c r="AM267" s="25"/>
      <c r="AN267" s="25" t="str">
        <f t="shared" ref="AN267" si="1361">AN5</f>
        <v>Pegar Valores Nombre J8</v>
      </c>
      <c r="AO267" s="25"/>
      <c r="AP267" s="25"/>
      <c r="AQ267" s="25" t="str">
        <f t="shared" ref="AQ267" si="1362">AQ5</f>
        <v>Pegar Valores Nombre J9</v>
      </c>
      <c r="AR267" s="25"/>
      <c r="AS267" s="25"/>
      <c r="AT267" s="25" t="str">
        <f t="shared" ref="AT267" si="1363">AT5</f>
        <v>Pegar Valores Nombre J10</v>
      </c>
      <c r="AU267" s="25"/>
      <c r="AV267" s="25"/>
      <c r="AW267" s="25" t="str">
        <f t="shared" ref="AW267" si="1364">AW5</f>
        <v>Pegar Valores Nombre J11</v>
      </c>
      <c r="AX267" s="25"/>
      <c r="AY267" s="25"/>
      <c r="AZ267" s="25" t="str">
        <f t="shared" ref="AZ267" si="1365">AZ5</f>
        <v>Pegar Valores Nombre J12</v>
      </c>
      <c r="BA267" s="25"/>
      <c r="BB267" s="25"/>
      <c r="BC267" s="25" t="str">
        <f t="shared" ref="BC267" si="1366">BC5</f>
        <v>Pegar Valores Nombre J13</v>
      </c>
      <c r="BD267" s="25"/>
      <c r="BE267" s="25"/>
      <c r="BF267" s="25" t="str">
        <f t="shared" ref="BF267" si="1367">BF5</f>
        <v>Pegar Valores Nombre J14</v>
      </c>
      <c r="BG267" s="25"/>
      <c r="BH267" s="25"/>
      <c r="BI267" s="25" t="str">
        <f t="shared" ref="BI267" si="1368">BI5</f>
        <v>Pegar Valores Nombre J15</v>
      </c>
      <c r="BJ267" s="25"/>
      <c r="BK267" s="25"/>
      <c r="BL267" s="25" t="str">
        <f t="shared" ref="BL267" si="1369">BL5</f>
        <v>Pegar Valores Nombre J16</v>
      </c>
      <c r="BM267" s="25"/>
      <c r="BN267" s="25"/>
      <c r="BO267" s="25" t="str">
        <f t="shared" ref="BO267" si="1370">BO5</f>
        <v>Pegar Valores Nombre J17</v>
      </c>
      <c r="BP267" s="25"/>
      <c r="BQ267" s="25"/>
      <c r="BR267" s="25" t="str">
        <f t="shared" ref="BR267" si="1371">BR5</f>
        <v>Pegar Valores Nombre J18</v>
      </c>
      <c r="BS267" s="25"/>
      <c r="BT267" s="25"/>
      <c r="BU267" s="25" t="str">
        <f t="shared" ref="BU267" si="1372">BU5</f>
        <v>Pegar Valores Nombre J19</v>
      </c>
      <c r="BV267" s="25"/>
      <c r="BW267" s="25"/>
      <c r="BX267" s="25" t="str">
        <f t="shared" ref="BX267" si="1373">BX5</f>
        <v>Pegar Valores Nombre J20</v>
      </c>
      <c r="BY267" s="25"/>
      <c r="BZ267" s="25"/>
      <c r="CA267" s="25" t="str">
        <f t="shared" ref="CA267" si="1374">CA5</f>
        <v>Pegar Valores Nombre J21</v>
      </c>
      <c r="CB267" s="25"/>
      <c r="CC267" s="25"/>
      <c r="CD267" s="25" t="str">
        <f t="shared" ref="CD267" si="1375">CD5</f>
        <v>Pegar Valores Nombre J22</v>
      </c>
      <c r="CE267" s="25"/>
      <c r="CF267" s="25"/>
      <c r="CG267" s="25" t="str">
        <f t="shared" ref="CG267" si="1376">CG5</f>
        <v>Pegar Valores Nombre J23</v>
      </c>
      <c r="CH267" s="25"/>
      <c r="CI267" s="25"/>
      <c r="CJ267" s="25" t="str">
        <f t="shared" ref="CJ267" si="1377">CJ5</f>
        <v>Pegar Valores Nombre J24</v>
      </c>
      <c r="CK267" s="25"/>
      <c r="CL267" s="25"/>
      <c r="CM267" s="25" t="str">
        <f t="shared" ref="CM267" si="137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145" zoomScaleNormal="145" workbookViewId="0">
      <selection activeCell="B1" sqref="B1:S1"/>
    </sheetView>
  </sheetViews>
  <sheetFormatPr baseColWidth="10"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793" t="str">
        <f>Idiomas!D451&amp;" "&amp;Home!C10</f>
        <v>CLASIFICACIÓN MUNDIAL 2026 NombreGrupo</v>
      </c>
      <c r="C1" s="794"/>
      <c r="D1" s="794"/>
      <c r="E1" s="794"/>
      <c r="F1" s="794"/>
      <c r="G1" s="794"/>
      <c r="H1" s="794"/>
      <c r="I1" s="794"/>
      <c r="J1" s="794"/>
      <c r="K1" s="794"/>
      <c r="L1" s="794"/>
      <c r="M1" s="794"/>
      <c r="N1" s="794"/>
      <c r="O1" s="794"/>
      <c r="P1" s="794"/>
      <c r="Q1" s="794"/>
      <c r="R1" s="794"/>
      <c r="S1" s="79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72</v>
      </c>
      <c r="G3" s="106" t="str">
        <f ca="1">+INDEX(ADMIN!$M$5:$M$259,MATCH(CLAS!G4,ADMIN!$K$5:$K$259,0))</f>
        <v>Max: 32</v>
      </c>
      <c r="H3" s="106" t="str">
        <f ca="1">+INDEX(ADMIN!$M$5:$M$259,MATCH(CLAS!H4,ADMIN!$K$5:$K$259,0))</f>
        <v>Max: 128</v>
      </c>
      <c r="I3" s="106" t="str">
        <f ca="1">+INDEX(ADMIN!$M$5:$M$259,MATCH(CLAS!I4,ADMIN!$K$5:$K$259,0))</f>
        <v>Max: 48</v>
      </c>
      <c r="J3" s="106" t="str">
        <f ca="1">+INDEX(ADMIN!$M$5:$M$259,MATCH(CLAS!J4,ADMIN!$K$5:$K$259,0))</f>
        <v>Max: 0</v>
      </c>
      <c r="K3" s="106" t="str">
        <f ca="1">+INDEX(ADMIN!$M$5:$M$259,MATCH(CLAS!K4,ADMIN!$K$5:$K$259,0))</f>
        <v>Max: 48</v>
      </c>
      <c r="L3" s="106" t="str">
        <f ca="1">+INDEX(ADMIN!$M$5:$M$259,MATCH(CLAS!L4,ADMIN!$K$5:$K$259,0))</f>
        <v>Max: 0</v>
      </c>
      <c r="M3" s="106" t="str">
        <f ca="1">+INDEX(ADMIN!$M$5:$M$259,MATCH(CLAS!M4,ADMIN!$K$5:$K$259,0))</f>
        <v>Max: 48</v>
      </c>
      <c r="N3" s="106" t="str">
        <f ca="1">+INDEX(ADMIN!$M$5:$M$259,MATCH(CLAS!N4,ADMIN!$K$5:$K$259,0))</f>
        <v>Max: 0</v>
      </c>
      <c r="O3" s="106" t="str">
        <f ca="1">+INDEX(ADMIN!$M$5:$M$259,MATCH(CLAS!O4,ADMIN!$K$5:$K$259,0))</f>
        <v>Max: 24</v>
      </c>
      <c r="P3" s="106" t="str">
        <f ca="1">+INDEX(ADMIN!$M$5:$M$259,MATCH(CLAS!P4,ADMIN!$K$5:$K$259,0))</f>
        <v>Max: 48</v>
      </c>
      <c r="Q3" s="106" t="str">
        <f ca="1">+INDEX(ADMIN!$M$5:$M$259,MATCH(CLAS!Q4,ADMIN!$K$5:$K$259,0))</f>
        <v>Max: 0</v>
      </c>
      <c r="R3" s="106" t="str">
        <f ca="1">+INDEX(ADMIN!$M$5:$M$259,MATCH(CLAS!R4,ADMIN!$K$5:$K$259,0))</f>
        <v>Max: 0</v>
      </c>
      <c r="S3" s="106" t="str">
        <f ca="1">+INDEX(ADMIN!$M$5:$M$259,MATCH(CLAS!S4,ADMIN!$K$5:$K$259,0))</f>
        <v>Max: 104</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LUIS DPM</v>
      </c>
      <c r="D5" s="91">
        <f ca="1">IFERROR(HLOOKUP(A5,Rango_Admin_Clas,4,FALSE),"-")</f>
        <v>182</v>
      </c>
      <c r="E5" s="92" cm="1">
        <f t="array" aca="1" ref="E5" ca="1">IFERROR(INDEX(Rango_Admin_Clas_Total,E$2,MATCH($A5,Rango_Admin_Clas_Primera,0)+1),"-")</f>
        <v>99</v>
      </c>
      <c r="F5" s="92" cm="1">
        <f t="array" aca="1" ref="F5" ca="1">IFERROR(INDEX(Rango_Admin_Clas_Total,F$2,MATCH($A5,Rango_Admin_Clas_Primera,0)+1),"-")</f>
        <v>51</v>
      </c>
      <c r="G5" s="92" cm="1">
        <f t="array" aca="1" ref="G5" ca="1">IFERROR(INDEX(Rango_Admin_Clas_Total,G$2,MATCH($A5,Rango_Admin_Clas_Primera,0)+1),"-")</f>
        <v>27</v>
      </c>
      <c r="H5" s="92" cm="1">
        <f t="array" aca="1" ref="H5" ca="1">IFERROR(INDEX(Rango_Admin_Clas_Total,H$2,MATCH($A5,Rango_Admin_Clas_Primera,0)+1),"-")</f>
        <v>2</v>
      </c>
      <c r="I5" s="92" cm="1">
        <f t="array" aca="1" ref="I5" ca="1">IFERROR(INDEX(Rango_Admin_Clas_Total,I$2,MATCH($A5,Rango_Admin_Clas_Primera,0)+1),"-")</f>
        <v>3</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ADRIÁN</v>
      </c>
      <c r="D6" s="91">
        <f ca="1">IFERROR(HLOOKUP(A6,Rango_Admin_Clas,4,FALSE),"-")</f>
        <v>173</v>
      </c>
      <c r="E6" s="92" cm="1">
        <f t="array" aca="1" ref="E6" ca="1">IFERROR(INDEX(Rango_Admin_Clas_Total,E$2,MATCH($A6,Rango_Admin_Clas_Primera,0)+1),"-")</f>
        <v>95</v>
      </c>
      <c r="F6" s="92" cm="1">
        <f t="array" aca="1" ref="F6" ca="1">IFERROR(INDEX(Rango_Admin_Clas_Total,F$2,MATCH($A6,Rango_Admin_Clas_Primera,0)+1),"-")</f>
        <v>47</v>
      </c>
      <c r="G6" s="92" cm="1">
        <f t="array" aca="1" ref="G6" ca="1">IFERROR(INDEX(Rango_Admin_Clas_Total,G$2,MATCH($A6,Rango_Admin_Clas_Primera,0)+1),"-")</f>
        <v>26</v>
      </c>
      <c r="H6" s="92" cm="1">
        <f t="array" aca="1" ref="H6" ca="1">IFERROR(INDEX(Rango_Admin_Clas_Total,H$2,MATCH($A6,Rango_Admin_Clas_Primera,0)+1),"-")</f>
        <v>2</v>
      </c>
      <c r="I6" s="92" cm="1">
        <f t="array" aca="1" ref="I6" ca="1">IFERROR(INDEX(Rango_Admin_Clas_Total,I$2,MATCH($A6,Rango_Admin_Clas_Primera,0)+1),"-")</f>
        <v>3</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IVÁN DELGADO</v>
      </c>
      <c r="D7" s="91">
        <f ca="1">IFERROR(HLOOKUP(A7,Rango_Admin_Clas,4,FALSE),"-")</f>
        <v>153</v>
      </c>
      <c r="E7" s="92" cm="1">
        <f t="array" aca="1" ref="E7" ca="1">IFERROR(INDEX(Rango_Admin_Clas_Total,E$2,MATCH($A7,Rango_Admin_Clas_Primera,0)+1),"-")</f>
        <v>81</v>
      </c>
      <c r="F7" s="92" cm="1">
        <f t="array" aca="1" ref="F7" ca="1">IFERROR(INDEX(Rango_Admin_Clas_Total,F$2,MATCH($A7,Rango_Admin_Clas_Primera,0)+1),"-")</f>
        <v>41</v>
      </c>
      <c r="G7" s="92" cm="1">
        <f t="array" aca="1" ref="G7" ca="1">IFERROR(INDEX(Rango_Admin_Clas_Total,G$2,MATCH($A7,Rango_Admin_Clas_Primera,0)+1),"-")</f>
        <v>26</v>
      </c>
      <c r="H7" s="92" cm="1">
        <f t="array" aca="1" ref="H7" ca="1">IFERROR(INDEX(Rango_Admin_Clas_Total,H$2,MATCH($A7,Rango_Admin_Clas_Primera,0)+1),"-")</f>
        <v>2</v>
      </c>
      <c r="I7" s="92" cm="1">
        <f t="array" aca="1" ref="I7" ca="1">IFERROR(INDEX(Rango_Admin_Clas_Total,I$2,MATCH($A7,Rango_Admin_Clas_Primera,0)+1),"-")</f>
        <v>3</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JUAN</v>
      </c>
      <c r="D8" s="91">
        <f ca="1">IFERROR(HLOOKUP(A8,Rango_Admin_Clas,4,FALSE),"-")</f>
        <v>148</v>
      </c>
      <c r="E8" s="92" cm="1">
        <f t="array" aca="1" ref="E8" ca="1">IFERROR(INDEX(Rango_Admin_Clas_Total,E$2,MATCH($A8,Rango_Admin_Clas_Primera,0)+1),"-")</f>
        <v>75</v>
      </c>
      <c r="F8" s="92" cm="1">
        <f t="array" aca="1" ref="F8" ca="1">IFERROR(INDEX(Rango_Admin_Clas_Total,F$2,MATCH($A8,Rango_Admin_Clas_Primera,0)+1),"-")</f>
        <v>41</v>
      </c>
      <c r="G8" s="92" cm="1">
        <f t="array" aca="1" ref="G8" ca="1">IFERROR(INDEX(Rango_Admin_Clas_Total,G$2,MATCH($A8,Rango_Admin_Clas_Primera,0)+1),"-")</f>
        <v>27</v>
      </c>
      <c r="H8" s="92" cm="1">
        <f t="array" aca="1" ref="H8" ca="1">IFERROR(INDEX(Rango_Admin_Clas_Total,H$2,MATCH($A8,Rango_Admin_Clas_Primera,0)+1),"-")</f>
        <v>2</v>
      </c>
      <c r="I8" s="92" cm="1">
        <f t="array" aca="1" ref="I8" ca="1">IFERROR(INDEX(Rango_Admin_Clas_Total,I$2,MATCH($A8,Rango_Admin_Clas_Primera,0)+1),"-")</f>
        <v>3</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SU FLORENTINEZA</v>
      </c>
      <c r="D9" s="91">
        <f ca="1">IFERROR(HLOOKUP(A9,Rango_Admin_Clas,4,FALSE),"-")</f>
        <v>147</v>
      </c>
      <c r="E9" s="92" cm="1">
        <f t="array" aca="1" ref="E9" ca="1">IFERROR(INDEX(Rango_Admin_Clas_Total,E$2,MATCH($A9,Rango_Admin_Clas_Primera,0)+1),"-")</f>
        <v>68</v>
      </c>
      <c r="F9" s="92" cm="1">
        <f t="array" aca="1" ref="F9" ca="1">IFERROR(INDEX(Rango_Admin_Clas_Total,F$2,MATCH($A9,Rango_Admin_Clas_Primera,0)+1),"-")</f>
        <v>47</v>
      </c>
      <c r="G9" s="92" cm="1">
        <f t="array" aca="1" ref="G9" ca="1">IFERROR(INDEX(Rango_Admin_Clas_Total,G$2,MATCH($A9,Rango_Admin_Clas_Primera,0)+1),"-")</f>
        <v>27</v>
      </c>
      <c r="H9" s="92" cm="1">
        <f t="array" aca="1" ref="H9" ca="1">IFERROR(INDEX(Rango_Admin_Clas_Total,H$2,MATCH($A9,Rango_Admin_Clas_Primera,0)+1),"-")</f>
        <v>2</v>
      </c>
      <c r="I9" s="92" cm="1">
        <f t="array" aca="1" ref="I9" ca="1">IFERROR(INDEX(Rango_Admin_Clas_Total,I$2,MATCH($A9,Rango_Admin_Clas_Primera,0)+1),"-")</f>
        <v>3</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EL MATO</v>
      </c>
      <c r="D10" s="91">
        <f ca="1">IFERROR(HLOOKUP(A10,Rango_Admin_Clas,4,FALSE),"-")</f>
        <v>137</v>
      </c>
      <c r="E10" s="92" cm="1">
        <f t="array" aca="1" ref="E10" ca="1">IFERROR(INDEX(Rango_Admin_Clas_Total,E$2,MATCH($A10,Rango_Admin_Clas_Primera,0)+1),"-")</f>
        <v>59</v>
      </c>
      <c r="F10" s="92" cm="1">
        <f t="array" aca="1" ref="F10" ca="1">IFERROR(INDEX(Rango_Admin_Clas_Total,F$2,MATCH($A10,Rango_Admin_Clas_Primera,0)+1),"-")</f>
        <v>46</v>
      </c>
      <c r="G10" s="92" cm="1">
        <f t="array" aca="1" ref="G10" ca="1">IFERROR(INDEX(Rango_Admin_Clas_Total,G$2,MATCH($A10,Rango_Admin_Clas_Primera,0)+1),"-")</f>
        <v>25</v>
      </c>
      <c r="H10" s="92" cm="1">
        <f t="array" aca="1" ref="H10" ca="1">IFERROR(INDEX(Rango_Admin_Clas_Total,H$2,MATCH($A10,Rango_Admin_Clas_Primera,0)+1),"-")</f>
        <v>4</v>
      </c>
      <c r="I10" s="92" cm="1">
        <f t="array" aca="1" ref="I10" ca="1">IFERROR(INDEX(Rango_Admin_Clas_Total,I$2,MATCH($A10,Rango_Admin_Clas_Primera,0)+1),"-")</f>
        <v>3</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CARLOS</v>
      </c>
      <c r="D11" s="91">
        <f ca="1">IFERROR(HLOOKUP(A11,Rango_Admin_Clas,4,FALSE),"-")</f>
        <v>124</v>
      </c>
      <c r="E11" s="92" cm="1">
        <f t="array" aca="1" ref="E11" ca="1">IFERROR(INDEX(Rango_Admin_Clas_Total,E$2,MATCH($A11,Rango_Admin_Clas_Primera,0)+1),"-")</f>
        <v>54</v>
      </c>
      <c r="F11" s="92" cm="1">
        <f t="array" aca="1" ref="F11" ca="1">IFERROR(INDEX(Rango_Admin_Clas_Total,F$2,MATCH($A11,Rango_Admin_Clas_Primera,0)+1),"-")</f>
        <v>40</v>
      </c>
      <c r="G11" s="92" cm="1">
        <f t="array" aca="1" ref="G11" ca="1">IFERROR(INDEX(Rango_Admin_Clas_Total,G$2,MATCH($A11,Rango_Admin_Clas_Primera,0)+1),"-")</f>
        <v>25</v>
      </c>
      <c r="H11" s="92" cm="1">
        <f t="array" aca="1" ref="H11" ca="1">IFERROR(INDEX(Rango_Admin_Clas_Total,H$2,MATCH($A11,Rango_Admin_Clas_Primera,0)+1),"-")</f>
        <v>2</v>
      </c>
      <c r="I11" s="92" cm="1">
        <f t="array" aca="1" ref="I11" ca="1">IFERROR(INDEX(Rango_Admin_Clas_Total,I$2,MATCH($A11,Rango_Admin_Clas_Primera,0)+1),"-")</f>
        <v>3</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zoomScale="85" zoomScaleNormal="85" workbookViewId="0">
      <selection activeCell="K9" sqref="K9"/>
    </sheetView>
  </sheetViews>
  <sheetFormatPr baseColWidth="10"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21875" style="1" customWidth="1"/>
    <col min="7" max="38" width="25.77734375" style="1" customWidth="1"/>
    <col min="39" max="41" width="10.77734375" style="1" customWidth="1"/>
    <col min="42" max="16384" width="10.77734375" style="1" hidden="1"/>
  </cols>
  <sheetData>
    <row r="1" spans="1:41" ht="40.049999999999997" customHeight="1" thickBot="1">
      <c r="E1" s="17"/>
      <c r="F1" s="17"/>
      <c r="G1" s="725"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E3" s="19"/>
      <c r="F3" s="449" t="str">
        <f>Idiomas!D475</f>
        <v>Nombre</v>
      </c>
      <c r="G3" s="449" t="str" cm="1">
        <f t="array" aca="1" ref="G3:AL3" ca="1">TRANSPOSE($B$4:$B$35)</f>
        <v>Sudáfrica-Canadá
 (0-1)</v>
      </c>
      <c r="H3" s="449" t="str">
        <f ca="1"/>
        <v xml:space="preserve">Brasil-Japón
</v>
      </c>
      <c r="I3" s="449" t="str">
        <f ca="1"/>
        <v xml:space="preserve">Alemania-Paraguay
</v>
      </c>
      <c r="J3" s="449" t="str">
        <f ca="1"/>
        <v xml:space="preserve">Países Bajos-Marruecos
</v>
      </c>
      <c r="K3" s="449" t="str">
        <f ca="1"/>
        <v xml:space="preserve">Costa de Marfil-Noruega
</v>
      </c>
      <c r="L3" s="449" t="str">
        <f ca="1"/>
        <v xml:space="preserve">Francia-Suecia
</v>
      </c>
      <c r="M3" s="449" t="str">
        <f ca="1"/>
        <v xml:space="preserve">México-Ecuador
</v>
      </c>
      <c r="N3" s="449" t="str">
        <f ca="1"/>
        <v xml:space="preserve">Inglaterra-RD Congo
</v>
      </c>
      <c r="O3" s="449" t="str">
        <f ca="1"/>
        <v xml:space="preserve">Bélgica-Senegal
</v>
      </c>
      <c r="P3" s="449" t="str">
        <f ca="1"/>
        <v xml:space="preserve">Estados Unidos-Bosnia y Herzegovina
</v>
      </c>
      <c r="Q3" s="449" t="str">
        <f ca="1"/>
        <v xml:space="preserve">España-Austria
</v>
      </c>
      <c r="R3" s="449" t="str">
        <f ca="1"/>
        <v xml:space="preserve">Portugal-Croacia
</v>
      </c>
      <c r="S3" s="449" t="str">
        <f ca="1"/>
        <v xml:space="preserve">Suiza-Argelia
</v>
      </c>
      <c r="T3" s="449" t="str">
        <f ca="1"/>
        <v xml:space="preserve">Australia-Egipto
</v>
      </c>
      <c r="U3" s="449" t="str">
        <f ca="1"/>
        <v xml:space="preserve">Argentina-Cabo Verde
</v>
      </c>
      <c r="V3" s="449" t="str">
        <f ca="1"/>
        <v xml:space="preserve">Colombia-Ghana
</v>
      </c>
      <c r="W3" s="449" t="str">
        <f ca="1"/>
        <v>Octavofinalista-1
 (Canadá)</v>
      </c>
      <c r="X3" s="449" t="str">
        <f ca="1"/>
        <v>Octavofinalista-2
 (W74)</v>
      </c>
      <c r="Y3" s="449" t="str">
        <f ca="1"/>
        <v>Octavofinalista-3
 (W76)</v>
      </c>
      <c r="Z3" s="449" t="str">
        <f ca="1"/>
        <v>Octavofinalista-4
 (W79)</v>
      </c>
      <c r="AA3" s="449" t="str">
        <f ca="1"/>
        <v>Octavofinalista-5
 (W83)</v>
      </c>
      <c r="AB3" s="449" t="str">
        <f ca="1"/>
        <v>Octavofinalista-6
 (W81)</v>
      </c>
      <c r="AC3" s="449" t="str">
        <f ca="1"/>
        <v>Octavofinalista-7
 (W86)</v>
      </c>
      <c r="AD3" s="449" t="str">
        <f ca="1"/>
        <v>Octavofinalista-8
 (W85)</v>
      </c>
      <c r="AE3" s="449" t="str">
        <f ca="1"/>
        <v>Octavofinalista-9
 (W75)</v>
      </c>
      <c r="AF3" s="449" t="str">
        <f ca="1"/>
        <v>Octavofinalista-10
 (W77)</v>
      </c>
      <c r="AG3" s="449" t="str">
        <f ca="1"/>
        <v>Octavofinalista-11
 (W78)</v>
      </c>
      <c r="AH3" s="449" t="str">
        <f ca="1"/>
        <v>Octavofinalista-12
 (W80)</v>
      </c>
      <c r="AI3" s="449" t="str">
        <f ca="1"/>
        <v>Octavofinalista-13
 (W84)</v>
      </c>
      <c r="AJ3" s="449" t="str">
        <f ca="1"/>
        <v>Octavofinalista-14
 (W82)</v>
      </c>
      <c r="AK3" s="449" t="str">
        <f ca="1"/>
        <v>Octavofinalista-15
 (W88)</v>
      </c>
      <c r="AL3" s="449" t="str">
        <f ca="1"/>
        <v>Octavofinalista-16
 (W87)</v>
      </c>
      <c r="AM3" s="297"/>
      <c r="AN3" s="297"/>
      <c r="AO3" s="297"/>
    </row>
    <row r="4" spans="1:41" ht="15" thickTop="1">
      <c r="A4" s="5" t="str" cm="1">
        <f t="array" aca="1" ref="A4" ca="1">IFERROR(INDEX(ADMIN!$K$6:$K$258,SMALL(IF(ADMIN!$G$6:$G$258=$J$1,ROW(ADMIN!$G$6:$G$258)-ROW(ADMIN!$G$6)+1),ROWS($A$1:A1))),"")</f>
        <v>Sudáfrica-Canadá</v>
      </c>
      <c r="B4" s="5" t="str">
        <f ca="1">A4&amp;CHAR(10)&amp;C4</f>
        <v>Sudáfrica-Canadá
 (0-1)</v>
      </c>
      <c r="C4" s="5" t="str" cm="1">
        <f t="array" aca="1" ref="C4" ca="1">IFERROR(IF(INDEX(ADMIN!$M$6:$M$258,SMALL(IF(ADMIN!$G$6:$G$258=$J$1,ROW(ADMIN!$G$6:$G$258)-ROW(ADMIN!$G$6)+1),ROWS($A$1:A1)))="-",""," ("&amp;INDEX(ADMIN!$M$6:$M$258,SMALL(IF(ADMIN!$G$6:$G$258=$J$1,ROW(ADMIN!$G$6:$G$258)-ROW(ADMIN!$G$6)+1),ROWS($A$1:A1)))&amp;")"),"")</f>
        <v xml:space="preserve"> (0-1)</v>
      </c>
      <c r="D4" s="5" t="str" cm="1">
        <f t="array" aca="1" ref="D4" ca="1">IFERROR(IF($J$1&gt;=20,INDEX(ADMIN!$C$6:$C$258,SMALL(IF(ADMIN!$G$6:$G$258=$J$1,ROW(ADMIN!$G$6:$G$258)-ROW(ADMIN!$G$6)+1),ROWS($D$1:D1))),""),"")</f>
        <v>Canadá-Sudáfrica</v>
      </c>
      <c r="E4" s="19">
        <v>9</v>
      </c>
      <c r="F4" s="406" t="str" cm="1">
        <f t="array" ref="F4">IFERROR(INDEX(Rango_Admin_DailyPred_Primera,1,E4),"-")</f>
        <v>LUIS DPM</v>
      </c>
      <c r="G4" s="429" t="str">
        <f ca="1">IFERROR(VLOOKUP(G$2,Rango_Admin_DailyPred,MATCH($F4,Rango_Admin_DailyPred_Primera,0),0),"-")</f>
        <v>Sudáfrica-Canadá·2|0-2</v>
      </c>
      <c r="H4" s="429" t="str">
        <f ca="1">IFERROR(VLOOKUP(H$2,Rango_Admin_DailyPred,MATCH($F4,Rango_Admin_DailyPred_Primera,0),0),"-")</f>
        <v>Brasil-Japón·1|2-1</v>
      </c>
      <c r="I4" s="429" t="str">
        <f ca="1">IFERROR(VLOOKUP(I$2,Rango_Admin_DailyPred,MATCH($F4,Rango_Admin_DailyPred_Primera,0),0),"-")</f>
        <v>Alemania-Paraguay·1|3-0</v>
      </c>
      <c r="J4" s="429" t="str">
        <f ca="1">IFERROR(VLOOKUP(J$2,Rango_Admin_DailyPred,MATCH($F4,Rango_Admin_DailyPred_Primera,0),0),"-")</f>
        <v>Países Bajos-Marruecos·2|0-1</v>
      </c>
      <c r="K4" s="429" t="str">
        <f ca="1">IFERROR(VLOOKUP(K$2,Rango_Admin_DailyPred,MATCH($F4,Rango_Admin_DailyPred_Primera,0),0),"-")</f>
        <v>Costa de Marfil-Noruega·2|1-2</v>
      </c>
      <c r="L4" s="429" t="str">
        <f ca="1">IFERROR(VLOOKUP(L$2,Rango_Admin_DailyPred,MATCH($F4,Rango_Admin_DailyPred_Primera,0),0),"-")</f>
        <v>Francia-Suecia·1|3-1</v>
      </c>
      <c r="M4" s="429" t="str">
        <f ca="1">IFERROR(VLOOKUP(M$2,Rango_Admin_DailyPred,MATCH($F4,Rango_Admin_DailyPred_Primera,0),0),"-")</f>
        <v>México-Ecuador·1|1-0</v>
      </c>
      <c r="N4" s="429" t="str">
        <f ca="1">IFERROR(VLOOKUP(N$2,Rango_Admin_DailyPred,MATCH($F4,Rango_Admin_DailyPred_Primera,0),0),"-")</f>
        <v>Inglaterra-RD Congo·1|2-0</v>
      </c>
      <c r="O4" s="429" t="str">
        <f ca="1">IFERROR(VLOOKUP(O$2,Rango_Admin_DailyPred,MATCH($F4,Rango_Admin_DailyPred_Primera,0),0),"-")</f>
        <v>Bélgica-Senegal·1|2-0</v>
      </c>
      <c r="P4" s="429" t="str">
        <f ca="1">IFERROR(VLOOKUP(P$2,Rango_Admin_DailyPred,MATCH($F4,Rango_Admin_DailyPred_Primera,0),0),"-")</f>
        <v>Estados Unidos-Bosnia y Herzegovina·1|1-0</v>
      </c>
      <c r="Q4" s="429" t="str">
        <f ca="1">IFERROR(VLOOKUP(Q$2,Rango_Admin_DailyPred,MATCH($F4,Rango_Admin_DailyPred_Primera,0),0),"-")</f>
        <v>España-Austria·1|2-1</v>
      </c>
      <c r="R4" s="429" t="str">
        <f ca="1">IFERROR(VLOOKUP(R$2,Rango_Admin_DailyPred,MATCH($F4,Rango_Admin_DailyPred_Primera,0),0),"-")</f>
        <v>Portugal-Croacia·1|2-1</v>
      </c>
      <c r="S4" s="429" t="str">
        <f ca="1">IFERROR(VLOOKUP(S$2,Rango_Admin_DailyPred,MATCH($F4,Rango_Admin_DailyPred_Primera,0),0),"-")</f>
        <v>Suiza-Argelia·1|1-0</v>
      </c>
      <c r="T4" s="429" t="str">
        <f ca="1">IFERROR(VLOOKUP(T$2,Rango_Admin_DailyPred,MATCH($F4,Rango_Admin_DailyPred_Primera,0),0),"-")</f>
        <v>Australia-Egipto·X|0-0</v>
      </c>
      <c r="U4" s="429" t="str">
        <f ca="1">IFERROR(VLOOKUP(U$2,Rango_Admin_DailyPred,MATCH($F4,Rango_Admin_DailyPred_Primera,0),0),"-")</f>
        <v>Argentina-Cabo Verde·1|3-0</v>
      </c>
      <c r="V4" s="429" t="str">
        <f ca="1">IFERROR(VLOOKUP(V$2,Rango_Admin_DailyPred,MATCH($F4,Rango_Admin_DailyPred_Primera,0),0),"-")</f>
        <v>Colombia-Ghana·1|2-1</v>
      </c>
      <c r="W4" s="429" t="str">
        <f ca="1">IFERROR(VLOOKUP(W$2,Rango_Admin_DailyPred,MATCH($F4,Rango_Admin_DailyPred_Primera,0),0),"-")</f>
        <v>Canadá</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Suiza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Bélgica</v>
      </c>
      <c r="AK4" s="429" t="str">
        <f ca="1">IFERROR(VLOOKUP(AK$2,Rango_Admin_DailyPred,MATCH($F4,Rango_Admin_DailyPred_Primera,0),0),"-")</f>
        <v>Australia</v>
      </c>
      <c r="AL4" s="429" t="str">
        <f ca="1">IFERROR(VLOOKUP(AL$2,Rango_Admin_DailyPred,MATCH($F4,Rango_Admin_DailyPred_Primera,0),0),"-")</f>
        <v>Colombia</v>
      </c>
      <c r="AM4" s="297"/>
      <c r="AN4" s="297"/>
      <c r="AO4" s="297"/>
    </row>
    <row r="5" spans="1:41">
      <c r="A5" s="5" t="str" cm="1">
        <f t="array" aca="1" ref="A5" ca="1">IFERROR(INDEX(ADMIN!$K$6:$K$258,SMALL(IF(ADMIN!$G$6:$G$258=$J$1,ROW(ADMIN!$G$6:$G$258)-ROW(ADMIN!$G$6)+1),ROWS($A$1:A2))),"")</f>
        <v>Brasil-Japón</v>
      </c>
      <c r="B5" s="5" t="str">
        <f t="shared" ref="B5:B35" ca="1" si="0">A5&amp;CHAR(10)&amp;C5</f>
        <v xml:space="preserve">Brasil-Japón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Japón-Brasil</v>
      </c>
      <c r="E5" s="19">
        <f>+E4+3</f>
        <v>12</v>
      </c>
      <c r="F5" s="406" t="str" cm="1">
        <f t="array" ref="F5">IFERROR(INDEX(Rango_Admin_DailyPred_Primera,1,E5),"-")</f>
        <v>EL MATO</v>
      </c>
      <c r="G5" s="429" t="str">
        <f ca="1">IFERROR(VLOOKUP(G$2,Rango_Admin_DailyPred,MATCH($F5,Rango_Admin_DailyPred_Primera,0),0),"-")</f>
        <v>Sudáfrica-Canadá·2|1-2</v>
      </c>
      <c r="H5" s="429" t="str">
        <f ca="1">IFERROR(VLOOKUP(H$2,Rango_Admin_DailyPred,MATCH($F5,Rango_Admin_DailyPred_Primera,0),0),"-")</f>
        <v>Brasil-Japón·1|3-0</v>
      </c>
      <c r="I5" s="429" t="str">
        <f ca="1">IFERROR(VLOOKUP(I$2,Rango_Admin_DailyPred,MATCH($F5,Rango_Admin_DailyPred_Primera,0),0),"-")</f>
        <v>Alemania-Paraguay·1|4-0</v>
      </c>
      <c r="J5" s="429" t="str">
        <f ca="1">IFERROR(VLOOKUP(J$2,Rango_Admin_DailyPred,MATCH($F5,Rango_Admin_DailyPred_Primera,0),0),"-")</f>
        <v>Países Bajos-Marruecos·X|1-1</v>
      </c>
      <c r="K5" s="429" t="str">
        <f ca="1">IFERROR(VLOOKUP(K$2,Rango_Admin_DailyPred,MATCH($F5,Rango_Admin_DailyPred_Primera,0),0),"-")</f>
        <v>Costa de Marfil-Noruega·2|1-2</v>
      </c>
      <c r="L5" s="429" t="str">
        <f ca="1">IFERROR(VLOOKUP(L$2,Rango_Admin_DailyPred,MATCH($F5,Rango_Admin_DailyPred_Primera,0),0),"-")</f>
        <v>Francia-Suecia·1|3-0</v>
      </c>
      <c r="M5" s="429" t="str">
        <f ca="1">IFERROR(VLOOKUP(M$2,Rango_Admin_DailyPred,MATCH($F5,Rango_Admin_DailyPred_Primera,0),0),"-")</f>
        <v>México-Ecuador·1|2-1</v>
      </c>
      <c r="N5" s="429" t="str">
        <f ca="1">IFERROR(VLOOKUP(N$2,Rango_Admin_DailyPred,MATCH($F5,Rango_Admin_DailyPred_Primera,0),0),"-")</f>
        <v>Inglaterra-RD Congo·1|3-0</v>
      </c>
      <c r="O5" s="429" t="str">
        <f ca="1">IFERROR(VLOOKUP(O$2,Rango_Admin_DailyPred,MATCH($F5,Rango_Admin_DailyPred_Primera,0),0),"-")</f>
        <v>Bélgica-Senegal·1|1-0</v>
      </c>
      <c r="P5" s="429" t="str">
        <f ca="1">IFERROR(VLOOKUP(P$2,Rango_Admin_DailyPred,MATCH($F5,Rango_Admin_DailyPred_Primera,0),0),"-")</f>
        <v>Estados Unidos-Bosnia y Herzegovina·1|2-0</v>
      </c>
      <c r="Q5" s="429" t="str">
        <f ca="1">IFERROR(VLOOKUP(Q$2,Rango_Admin_DailyPred,MATCH($F5,Rango_Admin_DailyPred_Primera,0),0),"-")</f>
        <v>España-Austria·1|3-1</v>
      </c>
      <c r="R5" s="429" t="str">
        <f ca="1">IFERROR(VLOOKUP(R$2,Rango_Admin_DailyPred,MATCH($F5,Rango_Admin_DailyPred_Primera,0),0),"-")</f>
        <v>Portugal-Croacia·1|2-0</v>
      </c>
      <c r="S5" s="429" t="str">
        <f ca="1">IFERROR(VLOOKUP(S$2,Rango_Admin_DailyPred,MATCH($F5,Rango_Admin_DailyPred_Primera,0),0),"-")</f>
        <v>Suiza-Argelia·1|1-0</v>
      </c>
      <c r="T5" s="429" t="str">
        <f ca="1">IFERROR(VLOOKUP(T$2,Rango_Admin_DailyPred,MATCH($F5,Rango_Admin_DailyPred_Primera,0),0),"-")</f>
        <v>Australia-Egipto·X|2-2</v>
      </c>
      <c r="U5" s="429" t="str">
        <f ca="1">IFERROR(VLOOKUP(U$2,Rango_Admin_DailyPred,MATCH($F5,Rango_Admin_DailyPred_Primera,0),0),"-")</f>
        <v>Argentina-Cabo Verde·1|4-0</v>
      </c>
      <c r="V5" s="429" t="str">
        <f ca="1">IFERROR(VLOOKUP(V$2,Rango_Admin_DailyPred,MATCH($F5,Rango_Admin_DailyPred_Primera,0),0),"-")</f>
        <v>Colombia-Ghana·1|2-0</v>
      </c>
      <c r="W5" s="429" t="str">
        <f ca="1">IFERROR(VLOOKUP(W$2,Rango_Admin_DailyPred,MATCH($F5,Rango_Admin_DailyPred_Primera,0),0),"-")</f>
        <v>Canadá</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México</v>
      </c>
      <c r="AA5" s="429" t="str">
        <f ca="1">IFERROR(VLOOKUP(AA$2,Rango_Admin_DailyPred,MATCH($F5,Rango_Admin_DailyPred_Primera,0),0),"-")</f>
        <v>Portugal</v>
      </c>
      <c r="AB5" s="429" t="str">
        <f ca="1">IFERROR(VLOOKUP(AB$2,Rango_Admin_DailyPred,MATCH($F5,Rango_Admin_DailyPred_Primera,0),0),"-")</f>
        <v>Estados Unidos</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Noruega</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Egipto</v>
      </c>
      <c r="AL5" s="429" t="str">
        <f ca="1">IFERROR(VLOOKUP(AL$2,Rango_Admin_DailyPred,MATCH($F5,Rango_Admin_DailyPred_Primera,0),0),"-")</f>
        <v>Colombia</v>
      </c>
      <c r="AM5" s="297"/>
      <c r="AN5" s="297"/>
      <c r="AO5" s="297"/>
    </row>
    <row r="6" spans="1:41">
      <c r="A6" s="5" t="str" cm="1">
        <f t="array" aca="1" ref="A6" ca="1">IFERROR(INDEX(ADMIN!$K$6:$K$258,SMALL(IF(ADMIN!$G$6:$G$258=$J$1,ROW(ADMIN!$G$6:$G$258)-ROW(ADMIN!$G$6)+1),ROWS($A$1:A3))),"")</f>
        <v>Alemania-Paraguay</v>
      </c>
      <c r="B6" s="5" t="str">
        <f t="shared" ca="1" si="0"/>
        <v xml:space="preserve">Alemania-Paraguay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Paraguay-Alemania</v>
      </c>
      <c r="E6" s="19">
        <f t="shared" ref="E6:E28" si="1">+E5+3</f>
        <v>15</v>
      </c>
      <c r="F6" s="406" t="str" cm="1">
        <f t="array" ref="F6">IFERROR(INDEX(Rango_Admin_DailyPred_Primera,1,E6),"-")</f>
        <v>IVÁN DELGADO</v>
      </c>
      <c r="G6" s="429" t="str">
        <f ca="1">IFERROR(VLOOKUP(G$2,Rango_Admin_DailyPred,MATCH($F6,Rango_Admin_DailyPred_Primera,0),0),"-")</f>
        <v>Sudáfrica-Canadá·2|1-3</v>
      </c>
      <c r="H6" s="429" t="str">
        <f ca="1">IFERROR(VLOOKUP(H$2,Rango_Admin_DailyPred,MATCH($F6,Rango_Admin_DailyPred_Primera,0),0),"-")</f>
        <v>Brasil-Japón·1|2-1</v>
      </c>
      <c r="I6" s="429" t="str">
        <f ca="1">IFERROR(VLOOKUP(I$2,Rango_Admin_DailyPred,MATCH($F6,Rango_Admin_DailyPred_Primera,0),0),"-")</f>
        <v>Alemania-Paraguay·1|2-0</v>
      </c>
      <c r="J6" s="429" t="str">
        <f ca="1">IFERROR(VLOOKUP(J$2,Rango_Admin_DailyPred,MATCH($F6,Rango_Admin_DailyPred_Primera,0),0),"-")</f>
        <v>Países Bajos-Marruecos·1|2-1</v>
      </c>
      <c r="K6" s="429" t="str">
        <f ca="1">IFERROR(VLOOKUP(K$2,Rango_Admin_DailyPred,MATCH($F6,Rango_Admin_DailyPred_Primera,0),0),"-")</f>
        <v>Costa de Marfil-Noruega·2|0-1</v>
      </c>
      <c r="L6" s="429" t="str">
        <f ca="1">IFERROR(VLOOKUP(L$2,Rango_Admin_DailyPred,MATCH($F6,Rango_Admin_DailyPred_Primera,0),0),"-")</f>
        <v>Francia-Suecia·1|3-1</v>
      </c>
      <c r="M6" s="429" t="str">
        <f ca="1">IFERROR(VLOOKUP(M$2,Rango_Admin_DailyPred,MATCH($F6,Rango_Admin_DailyPred_Primera,0),0),"-")</f>
        <v>México-Ecuador·2|0-1</v>
      </c>
      <c r="N6" s="429" t="str">
        <f ca="1">IFERROR(VLOOKUP(N$2,Rango_Admin_DailyPred,MATCH($F6,Rango_Admin_DailyPred_Primera,0),0),"-")</f>
        <v>Inglaterra-RD Congo·1|2-0</v>
      </c>
      <c r="O6" s="429" t="str">
        <f ca="1">IFERROR(VLOOKUP(O$2,Rango_Admin_DailyPred,MATCH($F6,Rango_Admin_DailyPred_Primera,0),0),"-")</f>
        <v>Bélgica-Senegal·X|1-1</v>
      </c>
      <c r="P6" s="429" t="str">
        <f ca="1">IFERROR(VLOOKUP(P$2,Rango_Admin_DailyPred,MATCH($F6,Rango_Admin_DailyPred_Primera,0),0),"-")</f>
        <v>Estados Unidos-Bosnia y Herzegovina·1|2-1</v>
      </c>
      <c r="Q6" s="429" t="str">
        <f ca="1">IFERROR(VLOOKUP(Q$2,Rango_Admin_DailyPred,MATCH($F6,Rango_Admin_DailyPred_Primera,0),0),"-")</f>
        <v>España-Austria·1|3-0</v>
      </c>
      <c r="R6" s="429" t="str">
        <f ca="1">IFERROR(VLOOKUP(R$2,Rango_Admin_DailyPred,MATCH($F6,Rango_Admin_DailyPred_Primera,0),0),"-")</f>
        <v>Portugal-Croacia·X|1-1</v>
      </c>
      <c r="S6" s="429" t="str">
        <f ca="1">IFERROR(VLOOKUP(S$2,Rango_Admin_DailyPred,MATCH($F6,Rango_Admin_DailyPred_Primera,0),0),"-")</f>
        <v>Suiza-Argelia·1|2-0</v>
      </c>
      <c r="T6" s="429" t="str">
        <f ca="1">IFERROR(VLOOKUP(T$2,Rango_Admin_DailyPred,MATCH($F6,Rango_Admin_DailyPred_Primera,0),0),"-")</f>
        <v>Australia-Egipto·2|0-1</v>
      </c>
      <c r="U6" s="429" t="str">
        <f ca="1">IFERROR(VLOOKUP(U$2,Rango_Admin_DailyPred,MATCH($F6,Rango_Admin_DailyPred_Primera,0),0),"-")</f>
        <v>Argentina-Cabo Verde·1|2-0</v>
      </c>
      <c r="V6" s="429" t="str">
        <f ca="1">IFERROR(VLOOKUP(V$2,Rango_Admin_DailyPred,MATCH($F6,Rango_Admin_DailyPred_Primera,0),0),"-")</f>
        <v>Colombia-Ghana·1|1-0</v>
      </c>
      <c r="W6" s="429" t="str">
        <f ca="1">IFERROR(VLOOKUP(W$2,Rango_Admin_DailyPred,MATCH($F6,Rango_Admin_DailyPred_Primera,0),0),"-")</f>
        <v>Canadá</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Ecuador</v>
      </c>
      <c r="AA6" s="429" t="str">
        <f ca="1">IFERROR(VLOOKUP(AA$2,Rango_Admin_DailyPred,MATCH($F6,Rango_Admin_DailyPred_Primera,0),0),"-")</f>
        <v>Portugal</v>
      </c>
      <c r="AB6" s="429" t="str">
        <f ca="1">IFERROR(VLOOKUP(AB$2,Rango_Admin_DailyPred,MATCH($F6,Rango_Admin_DailyPred_Primera,0),0),"-")</f>
        <v>Estados Unidos</v>
      </c>
      <c r="AC6" s="429" t="str">
        <f ca="1">IFERROR(VLOOKUP(AC$2,Rango_Admin_DailyPred,MATCH($F6,Rango_Admin_DailyPred_Primera,0),0),"-")</f>
        <v>Argentina</v>
      </c>
      <c r="AD6" s="429" t="str">
        <f ca="1">IFERROR(VLOOKUP(AD$2,Rango_Admin_DailyPred,MATCH($F6,Rango_Admin_DailyPred_Primera,0),0),"-")</f>
        <v>Suiza</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Senegal</v>
      </c>
      <c r="AK6" s="429" t="str">
        <f ca="1">IFERROR(VLOOKUP(AK$2,Rango_Admin_DailyPred,MATCH($F6,Rango_Admin_DailyPred_Primera,0),0),"-")</f>
        <v>Egipto</v>
      </c>
      <c r="AL6" s="429" t="str">
        <f ca="1">IFERROR(VLOOKUP(AL$2,Rango_Admin_DailyPred,MATCH($F6,Rango_Admin_DailyPred_Primera,0),0),"-")</f>
        <v>Colombia</v>
      </c>
      <c r="AM6" s="297"/>
      <c r="AN6" s="297"/>
      <c r="AO6" s="297"/>
    </row>
    <row r="7" spans="1:41">
      <c r="A7" s="5" t="str" cm="1">
        <f t="array" aca="1" ref="A7" ca="1">IFERROR(INDEX(ADMIN!$K$6:$K$258,SMALL(IF(ADMIN!$G$6:$G$258=$J$1,ROW(ADMIN!$G$6:$G$258)-ROW(ADMIN!$G$6)+1),ROWS($A$1:A4))),"")</f>
        <v>Países Bajos-Marruecos</v>
      </c>
      <c r="B7" s="5" t="str">
        <f t="shared" ca="1" si="0"/>
        <v xml:space="preserve">Países Bajos-Marruecos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Marruecos-Países Bajos</v>
      </c>
      <c r="E7" s="19">
        <f t="shared" si="1"/>
        <v>18</v>
      </c>
      <c r="F7" s="406" t="str" cm="1">
        <f t="array" ref="F7">IFERROR(INDEX(Rango_Admin_DailyPred_Primera,1,E7),"-")</f>
        <v>ADRIÁN</v>
      </c>
      <c r="G7" s="429" t="str">
        <f ca="1">IFERROR(VLOOKUP(G$2,Rango_Admin_DailyPred,MATCH($F7,Rango_Admin_DailyPred_Primera,0),0),"-")</f>
        <v>Sudáfrica-Canadá·2|0-2</v>
      </c>
      <c r="H7" s="429" t="str">
        <f ca="1">IFERROR(VLOOKUP(H$2,Rango_Admin_DailyPred,MATCH($F7,Rango_Admin_DailyPred_Primera,0),0),"-")</f>
        <v>Brasil-Japón·1|2-0</v>
      </c>
      <c r="I7" s="429" t="str">
        <f ca="1">IFERROR(VLOOKUP(I$2,Rango_Admin_DailyPred,MATCH($F7,Rango_Admin_DailyPred_Primera,0),0),"-")</f>
        <v>Alemania-Paraguay·1|2-0</v>
      </c>
      <c r="J7" s="429" t="str">
        <f ca="1">IFERROR(VLOOKUP(J$2,Rango_Admin_DailyPred,MATCH($F7,Rango_Admin_DailyPred_Primera,0),0),"-")</f>
        <v>Países Bajos-Marruecos·1|2-1</v>
      </c>
      <c r="K7" s="429" t="str">
        <f ca="1">IFERROR(VLOOKUP(K$2,Rango_Admin_DailyPred,MATCH($F7,Rango_Admin_DailyPred_Primera,0),0),"-")</f>
        <v>Costa de Marfil-Noruega·X|1-1</v>
      </c>
      <c r="L7" s="429" t="str">
        <f ca="1">IFERROR(VLOOKUP(L$2,Rango_Admin_DailyPred,MATCH($F7,Rango_Admin_DailyPred_Primera,0),0),"-")</f>
        <v>Francia-Suecia·1|3-0</v>
      </c>
      <c r="M7" s="429" t="str">
        <f ca="1">IFERROR(VLOOKUP(M$2,Rango_Admin_DailyPred,MATCH($F7,Rango_Admin_DailyPred_Primera,0),0),"-")</f>
        <v>México-Ecuador·X|1-1</v>
      </c>
      <c r="N7" s="429" t="str">
        <f ca="1">IFERROR(VLOOKUP(N$2,Rango_Admin_DailyPred,MATCH($F7,Rango_Admin_DailyPred_Primera,0),0),"-")</f>
        <v>Inglaterra-RD Congo·1|2-0</v>
      </c>
      <c r="O7" s="429" t="str">
        <f ca="1">IFERROR(VLOOKUP(O$2,Rango_Admin_DailyPred,MATCH($F7,Rango_Admin_DailyPred_Primera,0),0),"-")</f>
        <v>Bélgica-Senegal·X|1-1</v>
      </c>
      <c r="P7" s="429" t="str">
        <f ca="1">IFERROR(VLOOKUP(P$2,Rango_Admin_DailyPred,MATCH($F7,Rango_Admin_DailyPred_Primera,0),0),"-")</f>
        <v>Estados Unidos-Bosnia y Herzegovina·1|2-1</v>
      </c>
      <c r="Q7" s="429" t="str">
        <f ca="1">IFERROR(VLOOKUP(Q$2,Rango_Admin_DailyPred,MATCH($F7,Rango_Admin_DailyPred_Primera,0),0),"-")</f>
        <v>España-Austria·1|2-0</v>
      </c>
      <c r="R7" s="429" t="str">
        <f ca="1">IFERROR(VLOOKUP(R$2,Rango_Admin_DailyPred,MATCH($F7,Rango_Admin_DailyPred_Primera,0),0),"-")</f>
        <v>Portugal-Croacia·X|2-2</v>
      </c>
      <c r="S7" s="429" t="str">
        <f ca="1">IFERROR(VLOOKUP(S$2,Rango_Admin_DailyPred,MATCH($F7,Rango_Admin_DailyPred_Primera,0),0),"-")</f>
        <v>Suiza-Argelia·1|1-0</v>
      </c>
      <c r="T7" s="429" t="str">
        <f ca="1">IFERROR(VLOOKUP(T$2,Rango_Admin_DailyPred,MATCH($F7,Rango_Admin_DailyPred_Primera,0),0),"-")</f>
        <v>Australia-Egipto·2|0-1</v>
      </c>
      <c r="U7" s="429" t="str">
        <f ca="1">IFERROR(VLOOKUP(U$2,Rango_Admin_DailyPred,MATCH($F7,Rango_Admin_DailyPred_Primera,0),0),"-")</f>
        <v>Argentina-Cabo Verde·1|2-0</v>
      </c>
      <c r="V7" s="429" t="str">
        <f ca="1">IFERROR(VLOOKUP(V$2,Rango_Admin_DailyPred,MATCH($F7,Rango_Admin_DailyPred_Primera,0),0),"-")</f>
        <v>Colombia-Ghana·1|2-1</v>
      </c>
      <c r="W7" s="429" t="str">
        <f ca="1">IFERROR(VLOOKUP(W$2,Rango_Admin_DailyPred,MATCH($F7,Rango_Admin_DailyPred_Primera,0),0),"-")</f>
        <v>Canadá</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Portugal</v>
      </c>
      <c r="AB7" s="429" t="str">
        <f ca="1">IFERROR(VLOOKUP(AB$2,Rango_Admin_DailyPred,MATCH($F7,Rango_Admin_DailyPred_Primera,0),0),"-")</f>
        <v>Estados Unidos</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Senegal</v>
      </c>
      <c r="AK7" s="429" t="str">
        <f ca="1">IFERROR(VLOOKUP(AK$2,Rango_Admin_DailyPred,MATCH($F7,Rango_Admin_DailyPred_Primera,0),0),"-")</f>
        <v>Egipto</v>
      </c>
      <c r="AL7" s="429" t="str">
        <f ca="1">IFERROR(VLOOKUP(AL$2,Rango_Admin_DailyPred,MATCH($F7,Rango_Admin_DailyPred_Primera,0),0),"-")</f>
        <v>Colombia</v>
      </c>
      <c r="AM7" s="297"/>
      <c r="AN7" s="297"/>
      <c r="AO7" s="297"/>
    </row>
    <row r="8" spans="1:41">
      <c r="A8" s="5" t="str" cm="1">
        <f t="array" aca="1" ref="A8" ca="1">IFERROR(INDEX(ADMIN!$K$6:$K$258,SMALL(IF(ADMIN!$G$6:$G$258=$J$1,ROW(ADMIN!$G$6:$G$258)-ROW(ADMIN!$G$6)+1),ROWS($A$1:A5))),"")</f>
        <v>Costa de Marfil-Noruega</v>
      </c>
      <c r="B8" s="5" t="str">
        <f t="shared" ca="1" si="0"/>
        <v xml:space="preserve">Costa de Marfil-Noruega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Noruega-Costa de Marfil</v>
      </c>
      <c r="E8" s="19">
        <f t="shared" si="1"/>
        <v>21</v>
      </c>
      <c r="F8" s="406" t="str" cm="1">
        <f t="array" ref="F8">IFERROR(INDEX(Rango_Admin_DailyPred_Primera,1,E8),"-")</f>
        <v>JUAN</v>
      </c>
      <c r="G8" s="429" t="str">
        <f ca="1">IFERROR(VLOOKUP(G$2,Rango_Admin_DailyPred,MATCH($F8,Rango_Admin_DailyPred_Primera,0),0),"-")</f>
        <v>Sudáfrica-Canadá·2|0-2</v>
      </c>
      <c r="H8" s="429" t="str">
        <f ca="1">IFERROR(VLOOKUP(H$2,Rango_Admin_DailyPred,MATCH($F8,Rango_Admin_DailyPred_Primera,0),0),"-")</f>
        <v>Brasil-Japón·1|2-1</v>
      </c>
      <c r="I8" s="429" t="str">
        <f ca="1">IFERROR(VLOOKUP(I$2,Rango_Admin_DailyPred,MATCH($F8,Rango_Admin_DailyPred_Primera,0),0),"-")</f>
        <v>Alemania-Paraguay·1|2-0</v>
      </c>
      <c r="J8" s="429" t="str">
        <f ca="1">IFERROR(VLOOKUP(J$2,Rango_Admin_DailyPred,MATCH($F8,Rango_Admin_DailyPred_Primera,0),0),"-")</f>
        <v>Países Bajos-Marruecos·2|1-2</v>
      </c>
      <c r="K8" s="429" t="str">
        <f ca="1">IFERROR(VLOOKUP(K$2,Rango_Admin_DailyPred,MATCH($F8,Rango_Admin_DailyPred_Primera,0),0),"-")</f>
        <v>Costa de Marfil-Noruega·2|1-2</v>
      </c>
      <c r="L8" s="429" t="str">
        <f ca="1">IFERROR(VLOOKUP(L$2,Rango_Admin_DailyPred,MATCH($F8,Rango_Admin_DailyPred_Primera,0),0),"-")</f>
        <v>Francia-Suecia·1|1-0</v>
      </c>
      <c r="M8" s="429" t="str">
        <f ca="1">IFERROR(VLOOKUP(M$2,Rango_Admin_DailyPred,MATCH($F8,Rango_Admin_DailyPred_Primera,0),0),"-")</f>
        <v>México-Ecuador·2|0-1</v>
      </c>
      <c r="N8" s="429" t="str">
        <f ca="1">IFERROR(VLOOKUP(N$2,Rango_Admin_DailyPred,MATCH($F8,Rango_Admin_DailyPred_Primera,0),0),"-")</f>
        <v>Inglaterra-RD Congo·1|3-1</v>
      </c>
      <c r="O8" s="429" t="str">
        <f ca="1">IFERROR(VLOOKUP(O$2,Rango_Admin_DailyPred,MATCH($F8,Rango_Admin_DailyPred_Primera,0),0),"-")</f>
        <v>Bélgica-Senegal·2|0-1</v>
      </c>
      <c r="P8" s="429" t="str">
        <f ca="1">IFERROR(VLOOKUP(P$2,Rango_Admin_DailyPred,MATCH($F8,Rango_Admin_DailyPred_Primera,0),0),"-")</f>
        <v>Estados Unidos-Bosnia y Herzegovina·1|1-0</v>
      </c>
      <c r="Q8" s="429" t="str">
        <f ca="1">IFERROR(VLOOKUP(Q$2,Rango_Admin_DailyPred,MATCH($F8,Rango_Admin_DailyPred_Primera,0),0),"-")</f>
        <v>España-Austria·1|3-0</v>
      </c>
      <c r="R8" s="429" t="str">
        <f ca="1">IFERROR(VLOOKUP(R$2,Rango_Admin_DailyPred,MATCH($F8,Rango_Admin_DailyPred_Primera,0),0),"-")</f>
        <v>Portugal-Croacia·2|1-2</v>
      </c>
      <c r="S8" s="429" t="str">
        <f ca="1">IFERROR(VLOOKUP(S$2,Rango_Admin_DailyPred,MATCH($F8,Rango_Admin_DailyPred_Primera,0),0),"-")</f>
        <v>Suiza-Argelia·1|3-1</v>
      </c>
      <c r="T8" s="429" t="str">
        <f ca="1">IFERROR(VLOOKUP(T$2,Rango_Admin_DailyPred,MATCH($F8,Rango_Admin_DailyPred_Primera,0),0),"-")</f>
        <v>Australia-Egipto·2|1-2</v>
      </c>
      <c r="U8" s="429" t="str">
        <f ca="1">IFERROR(VLOOKUP(U$2,Rango_Admin_DailyPred,MATCH($F8,Rango_Admin_DailyPred_Primera,0),0),"-")</f>
        <v>Argentina-Cabo Verde·1|2-0</v>
      </c>
      <c r="V8" s="429" t="str">
        <f ca="1">IFERROR(VLOOKUP(V$2,Rango_Admin_DailyPred,MATCH($F8,Rango_Admin_DailyPred_Primera,0),0),"-")</f>
        <v>Colombia-Ghana·1|2-0</v>
      </c>
      <c r="W8" s="429" t="str">
        <f ca="1">IFERROR(VLOOKUP(W$2,Rango_Admin_DailyPred,MATCH($F8,Rango_Admin_DailyPred_Primera,0),0),"-")</f>
        <v>Canadá</v>
      </c>
      <c r="X8" s="429" t="str">
        <f ca="1">IFERROR(VLOOKUP(X$2,Rango_Admin_DailyPred,MATCH($F8,Rango_Admin_DailyPred_Primera,0),0),"-")</f>
        <v>Alemania</v>
      </c>
      <c r="Y8" s="429" t="str">
        <f ca="1">IFERROR(VLOOKUP(Y$2,Rango_Admin_DailyPred,MATCH($F8,Rango_Admin_DailyPred_Primera,0),0),"-")</f>
        <v>Brasil</v>
      </c>
      <c r="Z8" s="429" t="str">
        <f ca="1">IFERROR(VLOOKUP(Z$2,Rango_Admin_DailyPred,MATCH($F8,Rango_Admin_DailyPred_Primera,0),0),"-")</f>
        <v>Ecuador</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Senegal</v>
      </c>
      <c r="AK8" s="429" t="str">
        <f ca="1">IFERROR(VLOOKUP(AK$2,Rango_Admin_DailyPred,MATCH($F8,Rango_Admin_DailyPred_Primera,0),0),"-")</f>
        <v>Egipto</v>
      </c>
      <c r="AL8" s="429" t="str">
        <f ca="1">IFERROR(VLOOKUP(AL$2,Rango_Admin_DailyPred,MATCH($F8,Rango_Admin_DailyPred_Primera,0),0),"-")</f>
        <v>Colombia</v>
      </c>
      <c r="AM8" s="297"/>
      <c r="AN8" s="297"/>
      <c r="AO8" s="297"/>
    </row>
    <row r="9" spans="1:41">
      <c r="A9" s="5" t="str" cm="1">
        <f t="array" aca="1" ref="A9" ca="1">IFERROR(INDEX(ADMIN!$K$6:$K$258,SMALL(IF(ADMIN!$G$6:$G$258=$J$1,ROW(ADMIN!$G$6:$G$258)-ROW(ADMIN!$G$6)+1),ROWS($A$1:A6))),"")</f>
        <v>Francia-Suecia</v>
      </c>
      <c r="B9" s="5" t="str">
        <f t="shared" ca="1" si="0"/>
        <v xml:space="preserve">Francia-Suecia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Suecia-Francia</v>
      </c>
      <c r="E9" s="19">
        <f t="shared" si="1"/>
        <v>24</v>
      </c>
      <c r="F9" s="406" t="str" cm="1">
        <f t="array" ref="F9">IFERROR(INDEX(Rango_Admin_DailyPred_Primera,1,E9),"-")</f>
        <v>CARLOS</v>
      </c>
      <c r="G9" s="429" t="str">
        <f ca="1">IFERROR(VLOOKUP(G$2,Rango_Admin_DailyPred,MATCH($F9,Rango_Admin_DailyPred_Primera,0),0),"-")</f>
        <v>Sudáfrica-Canadá·2|0-2</v>
      </c>
      <c r="H9" s="429" t="str">
        <f ca="1">IFERROR(VLOOKUP(H$2,Rango_Admin_DailyPred,MATCH($F9,Rango_Admin_DailyPred_Primera,0),0),"-")</f>
        <v>Brasil-Japón·1|2-1</v>
      </c>
      <c r="I9" s="429" t="str">
        <f ca="1">IFERROR(VLOOKUP(I$2,Rango_Admin_DailyPred,MATCH($F9,Rango_Admin_DailyPred_Primera,0),0),"-")</f>
        <v>Alemania-Paraguay·1|2-0</v>
      </c>
      <c r="J9" s="429" t="str">
        <f ca="1">IFERROR(VLOOKUP(J$2,Rango_Admin_DailyPred,MATCH($F9,Rango_Admin_DailyPred_Primera,0),0),"-")</f>
        <v>Países Bajos-Marruecos·X|1-1</v>
      </c>
      <c r="K9" s="429" t="str">
        <f ca="1">IFERROR(VLOOKUP(K$2,Rango_Admin_DailyPred,MATCH($F9,Rango_Admin_DailyPred_Primera,0),0),"-")</f>
        <v>Costa de Marfil-Noruega·2|1-2</v>
      </c>
      <c r="L9" s="429" t="str">
        <f ca="1">IFERROR(VLOOKUP(L$2,Rango_Admin_DailyPred,MATCH($F9,Rango_Admin_DailyPred_Primera,0),0),"-")</f>
        <v>Francia-Suecia·1|3-1</v>
      </c>
      <c r="M9" s="429" t="str">
        <f ca="1">IFERROR(VLOOKUP(M$2,Rango_Admin_DailyPred,MATCH($F9,Rango_Admin_DailyPred_Primera,0),0),"-")</f>
        <v>México-Ecuador·2|1-2</v>
      </c>
      <c r="N9" s="429" t="str">
        <f ca="1">IFERROR(VLOOKUP(N$2,Rango_Admin_DailyPred,MATCH($F9,Rango_Admin_DailyPred_Primera,0),0),"-")</f>
        <v>Inglaterra-RD Congo·1|2-0</v>
      </c>
      <c r="O9" s="429" t="str">
        <f ca="1">IFERROR(VLOOKUP(O$2,Rango_Admin_DailyPred,MATCH($F9,Rango_Admin_DailyPred_Primera,0),0),"-")</f>
        <v>Bélgica-Senegal·X|1-1</v>
      </c>
      <c r="P9" s="429" t="str">
        <f ca="1">IFERROR(VLOOKUP(P$2,Rango_Admin_DailyPred,MATCH($F9,Rango_Admin_DailyPred_Primera,0),0),"-")</f>
        <v>Estados Unidos-Bosnia y Herzegovina·1|2-0</v>
      </c>
      <c r="Q9" s="429" t="str">
        <f ca="1">IFERROR(VLOOKUP(Q$2,Rango_Admin_DailyPred,MATCH($F9,Rango_Admin_DailyPred_Primera,0),0),"-")</f>
        <v>España-Austria·X|0-0</v>
      </c>
      <c r="R9" s="429" t="str">
        <f ca="1">IFERROR(VLOOKUP(R$2,Rango_Admin_DailyPred,MATCH($F9,Rango_Admin_DailyPred_Primera,0),0),"-")</f>
        <v>Portugal-Croacia·1|2-1</v>
      </c>
      <c r="S9" s="429" t="str">
        <f ca="1">IFERROR(VLOOKUP(S$2,Rango_Admin_DailyPred,MATCH($F9,Rango_Admin_DailyPred_Primera,0),0),"-")</f>
        <v>Suiza-Argelia·1|2-1</v>
      </c>
      <c r="T9" s="429" t="str">
        <f ca="1">IFERROR(VLOOKUP(T$2,Rango_Admin_DailyPred,MATCH($F9,Rango_Admin_DailyPred_Primera,0),0),"-")</f>
        <v>Australia-Egipto·X|0-0</v>
      </c>
      <c r="U9" s="429" t="str">
        <f ca="1">IFERROR(VLOOKUP(U$2,Rango_Admin_DailyPred,MATCH($F9,Rango_Admin_DailyPred_Primera,0),0),"-")</f>
        <v>Argentina-Cabo Verde·1|3-0</v>
      </c>
      <c r="V9" s="429" t="str">
        <f ca="1">IFERROR(VLOOKUP(V$2,Rango_Admin_DailyPred,MATCH($F9,Rango_Admin_DailyPred_Primera,0),0),"-")</f>
        <v>Colombia-Ghana·1|2-0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Brasil</v>
      </c>
      <c r="Z9" s="429" t="str">
        <f ca="1">IFERROR(VLOOKUP(Z$2,Rango_Admin_DailyPred,MATCH($F9,Rango_Admin_DailyPred_Primera,0),0),"-")</f>
        <v>Ecuador</v>
      </c>
      <c r="AA9" s="429" t="str">
        <f ca="1">IFERROR(VLOOKUP(AA$2,Rango_Admin_DailyPred,MATCH($F9,Rango_Admin_DailyPred_Primera,0),0),"-")</f>
        <v>Portugal</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Marruecos</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Inglaterra</v>
      </c>
      <c r="AI9" s="429" t="str">
        <f ca="1">IFERROR(VLOOKUP(AI$2,Rango_Admin_DailyPred,MATCH($F9,Rango_Admin_DailyPred_Primera,0),0),"-")</f>
        <v>España</v>
      </c>
      <c r="AJ9" s="429" t="str">
        <f ca="1">IFERROR(VLOOKUP(AJ$2,Rango_Admin_DailyPred,MATCH($F9,Rango_Admin_DailyPred_Primera,0),0),"-")</f>
        <v>Senegal</v>
      </c>
      <c r="AK9" s="429" t="str">
        <f ca="1">IFERROR(VLOOKUP(AK$2,Rango_Admin_DailyPred,MATCH($F9,Rango_Admin_DailyPred_Primera,0),0),"-")</f>
        <v>Australia</v>
      </c>
      <c r="AL9" s="429" t="str">
        <f ca="1">IFERROR(VLOOKUP(AL$2,Rango_Admin_DailyPred,MATCH($F9,Rango_Admin_DailyPred_Primera,0),0),"-")</f>
        <v>Colombia</v>
      </c>
      <c r="AM9" s="297"/>
      <c r="AN9" s="297"/>
      <c r="AO9" s="297"/>
    </row>
    <row r="10" spans="1:41">
      <c r="A10" s="5" t="str" cm="1">
        <f t="array" aca="1" ref="A10" ca="1">IFERROR(INDEX(ADMIN!$K$6:$K$258,SMALL(IF(ADMIN!$G$6:$G$258=$J$1,ROW(ADMIN!$G$6:$G$258)-ROW(ADMIN!$G$6)+1),ROWS($A$1:A7))),"")</f>
        <v>México-Ecuador</v>
      </c>
      <c r="B10" s="5" t="str">
        <f t="shared" ca="1" si="0"/>
        <v xml:space="preserve">México-Ecuador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Ecuador-México</v>
      </c>
      <c r="E10" s="19">
        <f t="shared" si="1"/>
        <v>27</v>
      </c>
      <c r="F10" s="406" t="str" cm="1">
        <f t="array" ref="F10">IFERROR(INDEX(Rango_Admin_DailyPred_Primera,1,E10),"-")</f>
        <v>SU FLORENTINEZA</v>
      </c>
      <c r="G10" s="429" t="str">
        <f ca="1">IFERROR(VLOOKUP(G$2,Rango_Admin_DailyPred,MATCH($F10,Rango_Admin_DailyPred_Primera,0),0),"-")</f>
        <v>Sudáfrica-Canadá·2|0-2</v>
      </c>
      <c r="H10" s="429" t="str">
        <f ca="1">IFERROR(VLOOKUP(H$2,Rango_Admin_DailyPred,MATCH($F10,Rango_Admin_DailyPred_Primera,0),0),"-")</f>
        <v>Brasil-Japón·1|2-1</v>
      </c>
      <c r="I10" s="429" t="str">
        <f ca="1">IFERROR(VLOOKUP(I$2,Rango_Admin_DailyPred,MATCH($F10,Rango_Admin_DailyPred_Primera,0),0),"-")</f>
        <v>Alemania-Paraguay·1|2-0</v>
      </c>
      <c r="J10" s="429" t="str">
        <f ca="1">IFERROR(VLOOKUP(J$2,Rango_Admin_DailyPred,MATCH($F10,Rango_Admin_DailyPred_Primera,0),0),"-")</f>
        <v>Países Bajos-Marruecos·X|1-1</v>
      </c>
      <c r="K10" s="429" t="str">
        <f ca="1">IFERROR(VLOOKUP(K$2,Rango_Admin_DailyPred,MATCH($F10,Rango_Admin_DailyPred_Primera,0),0),"-")</f>
        <v>Costa de Marfil-Noruega·2|1-2</v>
      </c>
      <c r="L10" s="429" t="str">
        <f ca="1">IFERROR(VLOOKUP(L$2,Rango_Admin_DailyPred,MATCH($F10,Rango_Admin_DailyPred_Primera,0),0),"-")</f>
        <v>Francia-Suecia·1|2-0</v>
      </c>
      <c r="M10" s="429" t="str">
        <f ca="1">IFERROR(VLOOKUP(M$2,Rango_Admin_DailyPred,MATCH($F10,Rango_Admin_DailyPred_Primera,0),0),"-")</f>
        <v>México-Ecuador·2|0-1</v>
      </c>
      <c r="N10" s="429" t="str">
        <f ca="1">IFERROR(VLOOKUP(N$2,Rango_Admin_DailyPred,MATCH($F10,Rango_Admin_DailyPred_Primera,0),0),"-")</f>
        <v>Inglaterra-RD Congo·1|2-0</v>
      </c>
      <c r="O10" s="429" t="str">
        <f ca="1">IFERROR(VLOOKUP(O$2,Rango_Admin_DailyPred,MATCH($F10,Rango_Admin_DailyPred_Primera,0),0),"-")</f>
        <v>Bélgica-Senegal·1|2-1</v>
      </c>
      <c r="P10" s="429" t="str">
        <f ca="1">IFERROR(VLOOKUP(P$2,Rango_Admin_DailyPred,MATCH($F10,Rango_Admin_DailyPred_Primera,0),0),"-")</f>
        <v>Estados Unidos-Bosnia y Herzegovina·1|2-0</v>
      </c>
      <c r="Q10" s="429" t="str">
        <f ca="1">IFERROR(VLOOKUP(Q$2,Rango_Admin_DailyPred,MATCH($F10,Rango_Admin_DailyPred_Primera,0),0),"-")</f>
        <v>España-Austria·1|1-0</v>
      </c>
      <c r="R10" s="429" t="str">
        <f ca="1">IFERROR(VLOOKUP(R$2,Rango_Admin_DailyPred,MATCH($F10,Rango_Admin_DailyPred_Primera,0),0),"-")</f>
        <v>Portugal-Croacia·X|1-1</v>
      </c>
      <c r="S10" s="429" t="str">
        <f ca="1">IFERROR(VLOOKUP(S$2,Rango_Admin_DailyPred,MATCH($F10,Rango_Admin_DailyPred_Primera,0),0),"-")</f>
        <v>Suiza-Argelia·1|2-1</v>
      </c>
      <c r="T10" s="429" t="str">
        <f ca="1">IFERROR(VLOOKUP(T$2,Rango_Admin_DailyPred,MATCH($F10,Rango_Admin_DailyPred_Primera,0),0),"-")</f>
        <v>Australia-Egipto·2|0-1</v>
      </c>
      <c r="U10" s="429" t="str">
        <f ca="1">IFERROR(VLOOKUP(U$2,Rango_Admin_DailyPred,MATCH($F10,Rango_Admin_DailyPred_Primera,0),0),"-")</f>
        <v>Argentina-Cabo Verde·1|2-0</v>
      </c>
      <c r="V10" s="429" t="str">
        <f ca="1">IFERROR(VLOOKUP(V$2,Rango_Admin_DailyPred,MATCH($F10,Rango_Admin_DailyPred_Primera,0),0),"-")</f>
        <v>Colombia-Ghana·1|1-0</v>
      </c>
      <c r="W10" s="429" t="str">
        <f ca="1">IFERROR(VLOOKUP(W$2,Rango_Admin_DailyPred,MATCH($F10,Rango_Admin_DailyPred_Primera,0),0),"-")</f>
        <v>Canadá</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Ecuador</v>
      </c>
      <c r="AA10" s="429" t="str">
        <f ca="1">IFERROR(VLOOKUP(AA$2,Rango_Admin_DailyPred,MATCH($F10,Rango_Admin_DailyPred_Primera,0),0),"-")</f>
        <v>Portugal</v>
      </c>
      <c r="AB10" s="429" t="str">
        <f ca="1">IFERROR(VLOOKUP(AB$2,Rango_Admin_DailyPred,MATCH($F10,Rango_Admin_DailyPred_Primera,0),0),"-")</f>
        <v>Estados Unidos</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Noruega</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Colombia</v>
      </c>
      <c r="AM10" s="297"/>
      <c r="AN10" s="297"/>
      <c r="AO10" s="297"/>
    </row>
    <row r="11" spans="1:41">
      <c r="A11" s="5" t="str" cm="1">
        <f t="array" aca="1" ref="A11" ca="1">IFERROR(INDEX(ADMIN!$K$6:$K$258,SMALL(IF(ADMIN!$G$6:$G$258=$J$1,ROW(ADMIN!$G$6:$G$258)-ROW(ADMIN!$G$6)+1),ROWS($A$1:A8))),"")</f>
        <v>Inglaterra-RD Congo</v>
      </c>
      <c r="B11" s="5" t="str">
        <f t="shared" ca="1" si="0"/>
        <v xml:space="preserve">Inglaterra-RD Congo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RD Congo-Inglaterra</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Bélgica-Senegal</v>
      </c>
      <c r="B12" s="5" t="str">
        <f t="shared" ca="1" si="0"/>
        <v xml:space="preserve">Bélgica-Senegal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Senegal-Bélgica</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Estados Unidos-Bosnia y Herzegovina</v>
      </c>
      <c r="B13" s="5" t="str">
        <f t="shared" ca="1" si="0"/>
        <v xml:space="preserve">Estados Unidos-Bosnia y Herzegovina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Bosnia y Herzegovina-Estados Unidos</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España-Austria</v>
      </c>
      <c r="B14" s="5" t="str">
        <f t="shared" ca="1" si="0"/>
        <v xml:space="preserve">España-Austria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Austria-España</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Portugal-Croacia</v>
      </c>
      <c r="B15" s="5" t="str">
        <f t="shared" ca="1" si="0"/>
        <v xml:space="preserve">Portugal-Croacia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Croacia-Portugal</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Suiza-Argelia</v>
      </c>
      <c r="B16" s="5" t="str">
        <f t="shared" ca="1" si="0"/>
        <v xml:space="preserve">Suiza-Argelia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Argelia-Suiza</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Australia-Egipto</v>
      </c>
      <c r="B17" s="5" t="str">
        <f t="shared" ca="1" si="0"/>
        <v xml:space="preserve">Australia-Egipto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Egipto-Australia</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Argentina-Cabo Verde</v>
      </c>
      <c r="B18" s="5" t="str">
        <f t="shared" ca="1" si="0"/>
        <v xml:space="preserve">Argentina-Cabo Verde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Cabo Verde-Argentina</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Colombia-Ghana</v>
      </c>
      <c r="B19" s="5" t="str">
        <f t="shared" ca="1" si="0"/>
        <v xml:space="preserve">Colombia-Ghana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Ghana-Colombia</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Octavofinalista-1</v>
      </c>
      <c r="B20" s="5" t="str">
        <f t="shared" ca="1" si="0"/>
        <v>Octavofinalista-1
 (Canadá)</v>
      </c>
      <c r="C20" s="5" t="str" cm="1">
        <f t="array" aca="1" ref="C20" ca="1">IFERROR(IF(INDEX(ADMIN!$M$6:$M$258,SMALL(IF(ADMIN!$G$6:$G$258=$J$1,ROW(ADMIN!$G$6:$G$258)-ROW(ADMIN!$G$6)+1),ROWS($A$1:A17)))="-", "", " ("&amp;INDEX(ADMIN!$M$6:$M$258,SMALL(IF(ADMIN!$G$6:$G$258=$J$1,ROW(ADMIN!$G$6:$G$258)-ROW(ADMIN!$G$6)+1),ROWS($A$1:A17)))&amp;")"),"")</f>
        <v xml:space="preserve"> (Canadá)</v>
      </c>
      <c r="D20" s="5" cm="1">
        <f t="array" aca="1" ref="D20" ca="1">IFERROR(IF($J$1&gt;=20,INDEX(ADMIN!$C$6:$C$258,SMALL(IF(ADMIN!$G$6:$G$258=$J$1,ROW(ADMIN!$G$6:$G$258)-ROW(ADMIN!$G$6)+1),ROWS($D$1:D17))),""),"")</f>
        <v>0</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Octavofinalista-2</v>
      </c>
      <c r="B21" s="5" t="str">
        <f t="shared" ca="1" si="0"/>
        <v>Octavofinalista-2
 (W74)</v>
      </c>
      <c r="C21" s="5" t="str" cm="1">
        <f t="array" aca="1" ref="C21" ca="1">IFERROR(IF(INDEX(ADMIN!$M$6:$M$258,SMALL(IF(ADMIN!$G$6:$G$258=$J$1,ROW(ADMIN!$G$6:$G$258)-ROW(ADMIN!$G$6)+1),ROWS($A$1:A18)))="-", "", " ("&amp;INDEX(ADMIN!$M$6:$M$258,SMALL(IF(ADMIN!$G$6:$G$258=$J$1,ROW(ADMIN!$G$6:$G$258)-ROW(ADMIN!$G$6)+1),ROWS($A$1:A18)))&amp;")"),"")</f>
        <v xml:space="preserve"> (W74)</v>
      </c>
      <c r="D21" s="5" cm="1">
        <f t="array" aca="1" ref="D21" ca="1">IFERROR(IF($J$1&gt;=20,INDEX(ADMIN!$C$6:$C$258,SMALL(IF(ADMIN!$G$6:$G$258=$J$1,ROW(ADMIN!$G$6:$G$258)-ROW(ADMIN!$G$6)+1),ROWS($D$1:D18))),""),"")</f>
        <v>0</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Octavofinalista-3</v>
      </c>
      <c r="B22" s="5" t="str">
        <f t="shared" ca="1" si="0"/>
        <v>Octavofinalista-3
 (W76)</v>
      </c>
      <c r="C22" s="5" t="str" cm="1">
        <f t="array" aca="1" ref="C22" ca="1">IFERROR(IF(INDEX(ADMIN!$M$6:$M$258,SMALL(IF(ADMIN!$G$6:$G$258=$J$1,ROW(ADMIN!$G$6:$G$258)-ROW(ADMIN!$G$6)+1),ROWS($A$1:A19)))="-", "", " ("&amp;INDEX(ADMIN!$M$6:$M$258,SMALL(IF(ADMIN!$G$6:$G$258=$J$1,ROW(ADMIN!$G$6:$G$258)-ROW(ADMIN!$G$6)+1),ROWS($A$1:A19)))&amp;")"),"")</f>
        <v xml:space="preserve"> (W76)</v>
      </c>
      <c r="D22" s="5" cm="1">
        <f t="array" aca="1" ref="D22" ca="1">IFERROR(IF($J$1&gt;=20,INDEX(ADMIN!$C$6:$C$258,SMALL(IF(ADMIN!$G$6:$G$258=$J$1,ROW(ADMIN!$G$6:$G$258)-ROW(ADMIN!$G$6)+1),ROWS($D$1:D19))),""),"")</f>
        <v>0</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Octavofinalista-4</v>
      </c>
      <c r="B23" s="5" t="str">
        <f t="shared" ca="1" si="0"/>
        <v>Octavofinalista-4
 (W79)</v>
      </c>
      <c r="C23" s="5" t="str" cm="1">
        <f t="array" aca="1" ref="C23" ca="1">IFERROR(IF(INDEX(ADMIN!$M$6:$M$258,SMALL(IF(ADMIN!$G$6:$G$258=$J$1,ROW(ADMIN!$G$6:$G$258)-ROW(ADMIN!$G$6)+1),ROWS($A$1:A20)))="-", "", " ("&amp;INDEX(ADMIN!$M$6:$M$258,SMALL(IF(ADMIN!$G$6:$G$258=$J$1,ROW(ADMIN!$G$6:$G$258)-ROW(ADMIN!$G$6)+1),ROWS($A$1:A20)))&amp;")"),"")</f>
        <v xml:space="preserve"> (W79)</v>
      </c>
      <c r="D23" s="5" cm="1">
        <f t="array" aca="1" ref="D23" ca="1">IFERROR(IF($J$1&gt;=20,INDEX(ADMIN!$C$6:$C$258,SMALL(IF(ADMIN!$G$6:$G$258=$J$1,ROW(ADMIN!$G$6:$G$258)-ROW(ADMIN!$G$6)+1),ROWS($D$1:D20))),""),"")</f>
        <v>0</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Octavofinalista-5</v>
      </c>
      <c r="B24" s="5" t="str">
        <f t="shared" ca="1" si="0"/>
        <v>Octavofinalista-5
 (W83)</v>
      </c>
      <c r="C24" s="5" t="str" cm="1">
        <f t="array" aca="1" ref="C24" ca="1">IFERROR(IF(INDEX(ADMIN!$M$6:$M$258,SMALL(IF(ADMIN!$G$6:$G$258=$J$1,ROW(ADMIN!$G$6:$G$258)-ROW(ADMIN!$G$6)+1),ROWS($A$1:A21)))="-", "", " ("&amp;INDEX(ADMIN!$M$6:$M$258,SMALL(IF(ADMIN!$G$6:$G$258=$J$1,ROW(ADMIN!$G$6:$G$258)-ROW(ADMIN!$G$6)+1),ROWS($A$1:A21)))&amp;")"),"")</f>
        <v xml:space="preserve"> (W83)</v>
      </c>
      <c r="D24" s="5" cm="1">
        <f t="array" aca="1" ref="D24" ca="1">IFERROR(IF($J$1&gt;=20,INDEX(ADMIN!$C$6:$C$258,SMALL(IF(ADMIN!$G$6:$G$258=$J$1,ROW(ADMIN!$G$6:$G$258)-ROW(ADMIN!$G$6)+1),ROWS($D$1:D21))),""),"")</f>
        <v>0</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Octavofinalista-6</v>
      </c>
      <c r="B25" s="5" t="str">
        <f t="shared" ca="1" si="0"/>
        <v>Octavofinalista-6
 (W81)</v>
      </c>
      <c r="C25" s="5" t="str" cm="1">
        <f t="array" aca="1" ref="C25" ca="1">IFERROR(IF(INDEX(ADMIN!$M$6:$M$258,SMALL(IF(ADMIN!$G$6:$G$258=$J$1,ROW(ADMIN!$G$6:$G$258)-ROW(ADMIN!$G$6)+1),ROWS($A$1:A22)))="-", "", " ("&amp;INDEX(ADMIN!$M$6:$M$258,SMALL(IF(ADMIN!$G$6:$G$258=$J$1,ROW(ADMIN!$G$6:$G$258)-ROW(ADMIN!$G$6)+1),ROWS($A$1:A22)))&amp;")"),"")</f>
        <v xml:space="preserve"> (W81)</v>
      </c>
      <c r="D25" s="5" cm="1">
        <f t="array" aca="1" ref="D25" ca="1">IFERROR(IF($J$1&gt;=20,INDEX(ADMIN!$C$6:$C$258,SMALL(IF(ADMIN!$G$6:$G$258=$J$1,ROW(ADMIN!$G$6:$G$258)-ROW(ADMIN!$G$6)+1),ROWS($D$1:D22))),""),"")</f>
        <v>0</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Octavofinalista-7</v>
      </c>
      <c r="B26" s="5" t="str">
        <f t="shared" ca="1" si="0"/>
        <v>Octavofinalista-7
 (W86)</v>
      </c>
      <c r="C26" s="5" t="str" cm="1">
        <f t="array" aca="1" ref="C26" ca="1">IFERROR(IF(INDEX(ADMIN!$M$6:$M$258,SMALL(IF(ADMIN!$G$6:$G$258=$J$1,ROW(ADMIN!$G$6:$G$258)-ROW(ADMIN!$G$6)+1),ROWS($A$1:A23)))="-", "", " ("&amp;INDEX(ADMIN!$M$6:$M$258,SMALL(IF(ADMIN!$G$6:$G$258=$J$1,ROW(ADMIN!$G$6:$G$258)-ROW(ADMIN!$G$6)+1),ROWS($A$1:A23)))&amp;")"),"")</f>
        <v xml:space="preserve"> (W86)</v>
      </c>
      <c r="D26" s="5" cm="1">
        <f t="array" aca="1" ref="D26" ca="1">IFERROR(IF($J$1&gt;=20,INDEX(ADMIN!$C$6:$C$258,SMALL(IF(ADMIN!$G$6:$G$258=$J$1,ROW(ADMIN!$G$6:$G$258)-ROW(ADMIN!$G$6)+1),ROWS($D$1:D23))),""),"")</f>
        <v>0</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Octavofinalista-8</v>
      </c>
      <c r="B27" s="5" t="str">
        <f t="shared" ca="1" si="0"/>
        <v>Octavofinalista-8
 (W85)</v>
      </c>
      <c r="C27" s="5" t="str" cm="1">
        <f t="array" aca="1" ref="C27" ca="1">IFERROR(IF(INDEX(ADMIN!$M$6:$M$258,SMALL(IF(ADMIN!$G$6:$G$258=$J$1,ROW(ADMIN!$G$6:$G$258)-ROW(ADMIN!$G$6)+1),ROWS($A$1:A24)))="-", "", " ("&amp;INDEX(ADMIN!$M$6:$M$258,SMALL(IF(ADMIN!$G$6:$G$258=$J$1,ROW(ADMIN!$G$6:$G$258)-ROW(ADMIN!$G$6)+1),ROWS($A$1:A24)))&amp;")"),"")</f>
        <v xml:space="preserve"> (W85)</v>
      </c>
      <c r="D27" s="5" cm="1">
        <f t="array" aca="1" ref="D27" ca="1">IFERROR(IF($J$1&gt;=20,INDEX(ADMIN!$C$6:$C$258,SMALL(IF(ADMIN!$G$6:$G$258=$J$1,ROW(ADMIN!$G$6:$G$258)-ROW(ADMIN!$G$6)+1),ROWS($D$1:D24))),""),"")</f>
        <v>0</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Octavofinalista-9</v>
      </c>
      <c r="B28" s="5" t="str">
        <f t="shared" ca="1" si="0"/>
        <v>Octavofinalista-9
 (W75)</v>
      </c>
      <c r="C28" s="5" t="str" cm="1">
        <f t="array" aca="1" ref="C28" ca="1">IFERROR(IF(INDEX(ADMIN!$M$6:$M$258,SMALL(IF(ADMIN!$G$6:$G$258=$J$1,ROW(ADMIN!$G$6:$G$258)-ROW(ADMIN!$G$6)+1),ROWS($A$1:A25)))="-", "", " ("&amp;INDEX(ADMIN!$M$6:$M$258,SMALL(IF(ADMIN!$G$6:$G$258=$J$1,ROW(ADMIN!$G$6:$G$258)-ROW(ADMIN!$G$6)+1),ROWS($A$1:A25)))&amp;")"),"")</f>
        <v xml:space="preserve"> (W75)</v>
      </c>
      <c r="D28" s="5" cm="1">
        <f t="array" aca="1" ref="D28" ca="1">IFERROR(IF($J$1&gt;=20,INDEX(ADMIN!$C$6:$C$258,SMALL(IF(ADMIN!$G$6:$G$258=$J$1,ROW(ADMIN!$G$6:$G$258)-ROW(ADMIN!$G$6)+1),ROWS($D$1:D25))),""),"")</f>
        <v>0</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Octavofinalista-10</v>
      </c>
      <c r="B29" s="5" t="str">
        <f t="shared" ca="1" si="0"/>
        <v>Octavofinalista-10
 (W77)</v>
      </c>
      <c r="C29" s="5" t="str" cm="1">
        <f t="array" aca="1" ref="C29" ca="1">IFERROR(IF(INDEX(ADMIN!$M$6:$M$258,SMALL(IF(ADMIN!$G$6:$G$258=$J$1,ROW(ADMIN!$G$6:$G$258)-ROW(ADMIN!$G$6)+1),ROWS($A$1:A26)))="-", "", " ("&amp;INDEX(ADMIN!$M$6:$M$258,SMALL(IF(ADMIN!$G$6:$G$258=$J$1,ROW(ADMIN!$G$6:$G$258)-ROW(ADMIN!$G$6)+1),ROWS($A$1:A26)))&amp;")"),"")</f>
        <v xml:space="preserve"> (W77)</v>
      </c>
      <c r="D29" s="5" cm="1">
        <f t="array" aca="1" ref="D29" ca="1">IFERROR(IF($J$1&gt;=20,INDEX(ADMIN!$C$6:$C$258,SMALL(IF(ADMIN!$G$6:$G$258=$J$1,ROW(ADMIN!$G$6:$G$258)-ROW(ADMIN!$G$6)+1),ROWS($D$1:D26))),""),"")</f>
        <v>0</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Octavofinalista-11</v>
      </c>
      <c r="B30" s="5" t="str">
        <f t="shared" ca="1" si="0"/>
        <v>Octavofinalista-11
 (W78)</v>
      </c>
      <c r="C30" s="5" t="str" cm="1">
        <f t="array" aca="1" ref="C30" ca="1">IFERROR(IF(INDEX(ADMIN!$M$6:$M$258,SMALL(IF(ADMIN!$G$6:$G$258=$J$1,ROW(ADMIN!$G$6:$G$258)-ROW(ADMIN!$G$6)+1),ROWS($A$1:A27)))="-", "", " ("&amp;INDEX(ADMIN!$M$6:$M$258,SMALL(IF(ADMIN!$G$6:$G$258=$J$1,ROW(ADMIN!$G$6:$G$258)-ROW(ADMIN!$G$6)+1),ROWS($A$1:A27)))&amp;")"),"")</f>
        <v xml:space="preserve"> (W78)</v>
      </c>
      <c r="D30" s="5" cm="1">
        <f t="array" aca="1" ref="D30" ca="1">IFERROR(IF($J$1&gt;=20,INDEX(ADMIN!$C$6:$C$258,SMALL(IF(ADMIN!$G$6:$G$258=$J$1,ROW(ADMIN!$G$6:$G$258)-ROW(ADMIN!$G$6)+1),ROWS($D$1:D27))),""),"")</f>
        <v>0</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Octavofinalista-12</v>
      </c>
      <c r="B31" s="5" t="str">
        <f t="shared" ca="1" si="0"/>
        <v>Octavofinalista-12
 (W80)</v>
      </c>
      <c r="C31" s="5" t="str" cm="1">
        <f t="array" aca="1" ref="C31" ca="1">IFERROR(IF(INDEX(ADMIN!$M$6:$M$258,SMALL(IF(ADMIN!$G$6:$G$258=$J$1,ROW(ADMIN!$G$6:$G$258)-ROW(ADMIN!$G$6)+1),ROWS($A$1:A28)))="-", "", " ("&amp;INDEX(ADMIN!$M$6:$M$258,SMALL(IF(ADMIN!$G$6:$G$258=$J$1,ROW(ADMIN!$G$6:$G$258)-ROW(ADMIN!$G$6)+1),ROWS($A$1:A28)))&amp;")"),"")</f>
        <v xml:space="preserve"> (W80)</v>
      </c>
      <c r="D31" s="5" cm="1">
        <f t="array" aca="1" ref="D31" ca="1">IFERROR(IF($J$1&gt;=20,INDEX(ADMIN!$C$6:$C$258,SMALL(IF(ADMIN!$G$6:$G$258=$J$1,ROW(ADMIN!$G$6:$G$258)-ROW(ADMIN!$G$6)+1),ROWS($D$1:D28))),""),"")</f>
        <v>0</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Octavofinalista-13</v>
      </c>
      <c r="B32" s="5" t="str">
        <f t="shared" ca="1" si="0"/>
        <v>Octavofinalista-13
 (W84)</v>
      </c>
      <c r="C32" s="5" t="str" cm="1">
        <f t="array" aca="1" ref="C32" ca="1">IFERROR(IF(INDEX(ADMIN!$M$6:$M$258,SMALL(IF(ADMIN!$G$6:$G$258=$J$1,ROW(ADMIN!$G$6:$G$258)-ROW(ADMIN!$G$6)+1),ROWS($A$1:A29)))="-", "", " ("&amp;INDEX(ADMIN!$M$6:$M$258,SMALL(IF(ADMIN!$G$6:$G$258=$J$1,ROW(ADMIN!$G$6:$G$258)-ROW(ADMIN!$G$6)+1),ROWS($A$1:A29)))&amp;")"),"")</f>
        <v xml:space="preserve"> (W84)</v>
      </c>
      <c r="D32" s="5" cm="1">
        <f t="array" aca="1" ref="D32" ca="1">IFERROR(IF($J$1&gt;=20,INDEX(ADMIN!$C$6:$C$258,SMALL(IF(ADMIN!$G$6:$G$258=$J$1,ROW(ADMIN!$G$6:$G$258)-ROW(ADMIN!$G$6)+1),ROWS($D$1:D29))),""),"")</f>
        <v>0</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Octavofinalista-14</v>
      </c>
      <c r="B33" s="5" t="str">
        <f t="shared" ca="1" si="0"/>
        <v>Octavofinalista-14
 (W82)</v>
      </c>
      <c r="C33" s="5" t="str" cm="1">
        <f t="array" aca="1" ref="C33" ca="1">IFERROR(IF(INDEX(ADMIN!$M$6:$M$258,SMALL(IF(ADMIN!$G$6:$G$258=$J$1,ROW(ADMIN!$G$6:$G$258)-ROW(ADMIN!$G$6)+1),ROWS($A$1:A30)))="-", "", " ("&amp;INDEX(ADMIN!$M$6:$M$258,SMALL(IF(ADMIN!$G$6:$G$258=$J$1,ROW(ADMIN!$G$6:$G$258)-ROW(ADMIN!$G$6)+1),ROWS($A$1:A30)))&amp;")"),"")</f>
        <v xml:space="preserve"> (W82)</v>
      </c>
      <c r="D33" s="5" cm="1">
        <f t="array" aca="1" ref="D33" ca="1">IFERROR(IF($J$1&gt;=20,INDEX(ADMIN!$C$6:$C$258,SMALL(IF(ADMIN!$G$6:$G$258=$J$1,ROW(ADMIN!$G$6:$G$258)-ROW(ADMIN!$G$6)+1),ROWS($D$1:D30))),""),"")</f>
        <v>0</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Octavofinalista-15</v>
      </c>
      <c r="B34" s="5" t="str">
        <f t="shared" ca="1" si="0"/>
        <v>Octavofinalista-15
 (W88)</v>
      </c>
      <c r="C34" s="5" t="str" cm="1">
        <f t="array" aca="1" ref="C34" ca="1">IFERROR(IF(INDEX(ADMIN!$M$6:$M$258,SMALL(IF(ADMIN!$G$6:$G$258=$J$1,ROW(ADMIN!$G$6:$G$258)-ROW(ADMIN!$G$6)+1),ROWS($A$1:A31)))="-", "", " ("&amp;INDEX(ADMIN!$M$6:$M$258,SMALL(IF(ADMIN!$G$6:$G$258=$J$1,ROW(ADMIN!$G$6:$G$258)-ROW(ADMIN!$G$6)+1),ROWS($A$1:A31)))&amp;")"),"")</f>
        <v xml:space="preserve"> (W88)</v>
      </c>
      <c r="D34" s="5" cm="1">
        <f t="array" aca="1" ref="D34" ca="1">IFERROR(IF($J$1&gt;=20,INDEX(ADMIN!$C$6:$C$258,SMALL(IF(ADMIN!$G$6:$G$258=$J$1,ROW(ADMIN!$G$6:$G$258)-ROW(ADMIN!$G$6)+1),ROWS($D$1:D31))),""),"")</f>
        <v>0</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Octavofinalista-16</v>
      </c>
      <c r="B35" s="5" t="str">
        <f t="shared" ca="1" si="0"/>
        <v>Octavofinalista-16
 (W87)</v>
      </c>
      <c r="C35" s="5" t="str" cm="1">
        <f t="array" aca="1" ref="C35" ca="1">IFERROR(IF(INDEX(ADMIN!$M$6:$M$258,SMALL(IF(ADMIN!$G$6:$G$258=$J$1,ROW(ADMIN!$G$6:$G$258)-ROW(ADMIN!$G$6)+1),ROWS($A$1:A32)))="-", "", " ("&amp;INDEX(ADMIN!$M$6:$M$258,SMALL(IF(ADMIN!$G$6:$G$258=$J$1,ROW(ADMIN!$G$6:$G$258)-ROW(ADMIN!$G$6)+1),ROWS($A$1:A32)))&amp;")"),"")</f>
        <v xml:space="preserve"> (W87)</v>
      </c>
      <c r="D35" s="5" cm="1">
        <f t="array" aca="1" ref="D35" ca="1">IFERROR(IF($J$1&gt;=20,INDEX(ADMIN!$C$6:$C$258,SMALL(IF(ADMIN!$G$6:$G$258=$J$1,ROW(ADMIN!$G$6:$G$258)-ROW(ADMIN!$G$6)+1),ROWS($D$1:D32))),""),"")</f>
        <v>0</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zoomScale="70" zoomScaleNormal="70" workbookViewId="0">
      <selection activeCell="I1" sqref="I1"/>
    </sheetView>
  </sheetViews>
  <sheetFormatPr baseColWidth="10"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A1" s="8"/>
      <c r="B1" s="8"/>
      <c r="C1" s="8"/>
      <c r="D1" s="17"/>
      <c r="E1" s="17"/>
      <c r="F1" s="17"/>
      <c r="G1" s="17"/>
      <c r="H1" s="408" t="str">
        <f>Idiomas!D496</f>
        <v>Dia seleccionado en "Daily Prediction"</v>
      </c>
      <c r="I1" s="760"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A3" s="8"/>
      <c r="B3" s="8"/>
      <c r="C3" s="8"/>
      <c r="D3" s="19"/>
      <c r="E3" s="449" t="str">
        <f>Idiomas!D479</f>
        <v>Pos</v>
      </c>
      <c r="F3" s="449" t="str">
        <f>Idiomas!D480</f>
        <v>Nombre</v>
      </c>
      <c r="G3" s="449" t="str">
        <f>Idiomas!D481</f>
        <v>Puntos Día / Eliminatoria</v>
      </c>
      <c r="H3" s="449" t="str" cm="1">
        <f t="array" aca="1" ref="H3:AM3" ca="1">TRANSPOSE($B$4:$B$35)</f>
        <v>Sudáfrica-Canadá
 (0-1)</v>
      </c>
      <c r="I3" s="449" t="str">
        <f ca="1"/>
        <v>Brasil-Japón
 (-)</v>
      </c>
      <c r="J3" s="449" t="str">
        <f ca="1"/>
        <v>Alemania-Paraguay
 (-)</v>
      </c>
      <c r="K3" s="449" t="str">
        <f ca="1"/>
        <v>Países Bajos-Marruecos
 (-)</v>
      </c>
      <c r="L3" s="449" t="str">
        <f ca="1"/>
        <v>Costa de Marfil-Noruega
 (-)</v>
      </c>
      <c r="M3" s="449" t="str">
        <f ca="1"/>
        <v>Francia-Suecia
 (-)</v>
      </c>
      <c r="N3" s="449" t="str">
        <f ca="1"/>
        <v>México-Ecuador
 (-)</v>
      </c>
      <c r="O3" s="449" t="str">
        <f ca="1"/>
        <v>Inglaterra-RD Congo
 (-)</v>
      </c>
      <c r="P3" s="449" t="str">
        <f ca="1"/>
        <v>Bélgica-Senegal
 (-)</v>
      </c>
      <c r="Q3" s="449" t="str">
        <f ca="1"/>
        <v>Estados Unidos-Bosnia y Herzegovina
 (-)</v>
      </c>
      <c r="R3" s="449" t="str">
        <f ca="1"/>
        <v>España-Austria
 (-)</v>
      </c>
      <c r="S3" s="449" t="str">
        <f ca="1"/>
        <v>Portugal-Croacia
 (-)</v>
      </c>
      <c r="T3" s="449" t="str">
        <f ca="1"/>
        <v>Suiza-Argelia
 (-)</v>
      </c>
      <c r="U3" s="449" t="str">
        <f ca="1"/>
        <v>Australia-Egipto
 (-)</v>
      </c>
      <c r="V3" s="449" t="str">
        <f ca="1"/>
        <v>Argentina-Cabo Verde
 (-)</v>
      </c>
      <c r="W3" s="449" t="str">
        <f ca="1"/>
        <v>Colombia-Ghana
 (-)</v>
      </c>
      <c r="X3" s="449" t="str">
        <f ca="1"/>
        <v>Octavofinalista-1
 (Canadá)</v>
      </c>
      <c r="Y3" s="449" t="str">
        <f ca="1"/>
        <v>Octavofinalista-2
 (W74)</v>
      </c>
      <c r="Z3" s="449" t="str">
        <f ca="1"/>
        <v>Octavofinalista-3
 (W76)</v>
      </c>
      <c r="AA3" s="449" t="str">
        <f ca="1"/>
        <v>Octavofinalista-4
 (W79)</v>
      </c>
      <c r="AB3" s="449" t="str">
        <f ca="1"/>
        <v>Octavofinalista-5
 (W83)</v>
      </c>
      <c r="AC3" s="449" t="str">
        <f ca="1"/>
        <v>Octavofinalista-6
 (W81)</v>
      </c>
      <c r="AD3" s="449" t="str">
        <f ca="1"/>
        <v>Octavofinalista-7
 (W86)</v>
      </c>
      <c r="AE3" s="449" t="str">
        <f ca="1"/>
        <v>Octavofinalista-8
 (W85)</v>
      </c>
      <c r="AF3" s="449" t="str">
        <f ca="1"/>
        <v>Octavofinalista-9
 (W75)</v>
      </c>
      <c r="AG3" s="449" t="str">
        <f ca="1"/>
        <v>Octavofinalista-10
 (W77)</v>
      </c>
      <c r="AH3" s="449" t="str">
        <f ca="1"/>
        <v>Octavofinalista-11
 (W78)</v>
      </c>
      <c r="AI3" s="449" t="str">
        <f ca="1"/>
        <v>Octavofinalista-12
 (W80)</v>
      </c>
      <c r="AJ3" s="449" t="str">
        <f ca="1"/>
        <v>Octavofinalista-13
 (W84)</v>
      </c>
      <c r="AK3" s="449" t="str">
        <f ca="1"/>
        <v>Octavofinalista-14
 (W82)</v>
      </c>
      <c r="AL3" s="449" t="str">
        <f ca="1"/>
        <v>Octavofinalista-15
 (W88)</v>
      </c>
      <c r="AM3" s="449" t="str">
        <f ca="1"/>
        <v>Octavofinalista-16
 (W87)</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EL MATO</v>
      </c>
      <c r="G4" s="22">
        <f ca="1">IFERROR(HLOOKUP(C4,Rango_Admin_DailyClas,4,FALSE),"-")</f>
        <v>7</v>
      </c>
      <c r="H4" s="429">
        <f ca="1">IFERROR(VLOOKUP(H$2,Rango_Admin_DailyPred,MATCH($F4,Rango_Admin_DailyPred_Primera,0)+1,0),"-")</f>
        <v>4</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0</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0</v>
      </c>
      <c r="S4" s="429">
        <f ca="1">IFERROR(VLOOKUP(S$2,Rango_Admin_DailyPred,MATCH($F4,Rango_Admin_DailyPred_Primera,0)+1,0),"-")</f>
        <v>0</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3</v>
      </c>
      <c r="Y4" s="429">
        <f ca="1">IFERROR(VLOOKUP(Y$2,Rango_Admin_DailyPred,MATCH($F4,Rango_Admin_DailyPred_Primera,0)+1,0),"-")</f>
        <v>0</v>
      </c>
      <c r="Z4" s="429">
        <f ca="1">IFERROR(VLOOKUP(Z$2,Rango_Admin_DailyPred,MATCH($F4,Rango_Admin_DailyPred_Primera,0)+1,0),"-")</f>
        <v>0</v>
      </c>
      <c r="AA4" s="429">
        <f ca="1">IFERROR(VLOOKUP(AA$2,Rango_Admin_DailyPred,MATCH($F4,Rango_Admin_DailyPred_Primera,0)+1,0),"-")</f>
        <v>0</v>
      </c>
      <c r="AB4" s="429">
        <f ca="1">IFERROR(VLOOKUP(AB$2,Rango_Admin_DailyPred,MATCH($F4,Rango_Admin_DailyPred_Primera,0)+1,0),"-")</f>
        <v>0</v>
      </c>
      <c r="AC4" s="429">
        <f ca="1">IFERROR(VLOOKUP(AC$2,Rango_Admin_DailyPred,MATCH($F4,Rango_Admin_DailyPred_Primera,0)+1,0),"-")</f>
        <v>0</v>
      </c>
      <c r="AD4" s="429">
        <f ca="1">IFERROR(VLOOKUP(AD$2,Rango_Admin_DailyPred,MATCH($F4,Rango_Admin_DailyPred_Primera,0)+1,0),"-")</f>
        <v>0</v>
      </c>
      <c r="AE4" s="429">
        <f ca="1">IFERROR(VLOOKUP(AE$2,Rango_Admin_DailyPred,MATCH($F4,Rango_Admin_DailyPred_Primera,0)+1,0),"-")</f>
        <v>0</v>
      </c>
      <c r="AF4" s="429">
        <f ca="1">IFERROR(VLOOKUP(AF$2,Rango_Admin_DailyPred,MATCH($F4,Rango_Admin_DailyPred_Primera,0)+1,0),"-")</f>
        <v>0</v>
      </c>
      <c r="AG4" s="429">
        <f ca="1">IFERROR(VLOOKUP(AG$2,Rango_Admin_DailyPred,MATCH($F4,Rango_Admin_DailyPred_Primera,0)+1,0),"-")</f>
        <v>0</v>
      </c>
      <c r="AH4" s="429">
        <f ca="1">IFERROR(VLOOKUP(AH$2,Rango_Admin_DailyPred,MATCH($F4,Rango_Admin_DailyPred_Primera,0)+1,0),"-")</f>
        <v>0</v>
      </c>
      <c r="AI4" s="429">
        <f ca="1">IFERROR(VLOOKUP(AI$2,Rango_Admin_DailyPred,MATCH($F4,Rango_Admin_DailyPred_Primera,0)+1,0),"-")</f>
        <v>0</v>
      </c>
      <c r="AJ4" s="429">
        <f ca="1">IFERROR(VLOOKUP(AJ$2,Rango_Admin_DailyPred,MATCH($F4,Rango_Admin_DailyPred_Primera,0)+1,0),"-")</f>
        <v>0</v>
      </c>
      <c r="AK4" s="429">
        <f ca="1">IFERROR(VLOOKUP(AK$2,Rango_Admin_DailyPred,MATCH($F4,Rango_Admin_DailyPred_Primera,0)+1,0),"-")</f>
        <v>0</v>
      </c>
      <c r="AL4" s="429">
        <f ca="1">IFERROR(VLOOKUP(AL$2,Rango_Admin_DailyPred,MATCH($F4,Rango_Admin_DailyPred_Primera,0)+1,0),"-")</f>
        <v>0</v>
      </c>
      <c r="AM4" s="429">
        <f ca="1">IFERROR(VLOOKUP(AM$2,Rango_Admin_DailyPred,MATCH($F4,Rango_Admin_DailyPred_Primera,0)+1,0),"-")</f>
        <v>0</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v>
      </c>
      <c r="C5" s="8">
        <v>2</v>
      </c>
      <c r="D5" s="90"/>
      <c r="E5" s="409">
        <f ca="1">IFERROR(HLOOKUP(C5,Rango_Admin_DailyClas,3,FALSE),"-")</f>
        <v>2</v>
      </c>
      <c r="F5" s="448" t="str">
        <f ca="1">IFERROR(HLOOKUP(C5,Rango_Admin_DailyClas,5,FALSE),"-")</f>
        <v>LUIS DPM</v>
      </c>
      <c r="G5" s="22">
        <f ca="1">IFERROR(HLOOKUP(C5,Rango_Admin_DailyClas,4,FALSE),"-")</f>
        <v>5</v>
      </c>
      <c r="H5" s="429">
        <f ca="1">IFERROR(VLOOKUP(H$2,Rango_Admin_DailyPred,MATCH($F5,Rango_Admin_DailyPred_Primera,0)+1,0),"-")</f>
        <v>2</v>
      </c>
      <c r="I5" s="429">
        <f ca="1">IFERROR(VLOOKUP(I$2,Rango_Admin_DailyPred,MATCH($F5,Rango_Admin_DailyPred_Primera,0)+1,0),"-")</f>
        <v>0</v>
      </c>
      <c r="J5" s="429">
        <f ca="1">IFERROR(VLOOKUP(J$2,Rango_Admin_DailyPred,MATCH($F5,Rango_Admin_DailyPred_Primera,0)+1,0),"-")</f>
        <v>0</v>
      </c>
      <c r="K5" s="429">
        <f ca="1">IFERROR(VLOOKUP(K$2,Rango_Admin_DailyPred,MATCH($F5,Rango_Admin_DailyPred_Primera,0)+1,0),"-")</f>
        <v>0</v>
      </c>
      <c r="L5" s="429">
        <f ca="1">IFERROR(VLOOKUP(L$2,Rango_Admin_DailyPred,MATCH($F5,Rango_Admin_DailyPred_Primera,0)+1,0),"-")</f>
        <v>0</v>
      </c>
      <c r="M5" s="429">
        <f ca="1">IFERROR(VLOOKUP(M$2,Rango_Admin_DailyPred,MATCH($F5,Rango_Admin_DailyPred_Primera,0)+1,0),"-")</f>
        <v>0</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0</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3</v>
      </c>
      <c r="Y5" s="429">
        <f ca="1">IFERROR(VLOOKUP(Y$2,Rango_Admin_DailyPred,MATCH($F5,Rango_Admin_DailyPred_Primera,0)+1,0),"-")</f>
        <v>0</v>
      </c>
      <c r="Z5" s="429">
        <f ca="1">IFERROR(VLOOKUP(Z$2,Rango_Admin_DailyPred,MATCH($F5,Rango_Admin_DailyPred_Primera,0)+1,0),"-")</f>
        <v>0</v>
      </c>
      <c r="AA5" s="429">
        <f ca="1">IFERROR(VLOOKUP(AA$2,Rango_Admin_DailyPred,MATCH($F5,Rango_Admin_DailyPred_Primera,0)+1,0),"-")</f>
        <v>0</v>
      </c>
      <c r="AB5" s="429">
        <f ca="1">IFERROR(VLOOKUP(AB$2,Rango_Admin_DailyPred,MATCH($F5,Rango_Admin_DailyPred_Primera,0)+1,0),"-")</f>
        <v>0</v>
      </c>
      <c r="AC5" s="429">
        <f ca="1">IFERROR(VLOOKUP(AC$2,Rango_Admin_DailyPred,MATCH($F5,Rango_Admin_DailyPred_Primera,0)+1,0),"-")</f>
        <v>0</v>
      </c>
      <c r="AD5" s="429">
        <f ca="1">IFERROR(VLOOKUP(AD$2,Rango_Admin_DailyPred,MATCH($F5,Rango_Admin_DailyPred_Primera,0)+1,0),"-")</f>
        <v>0</v>
      </c>
      <c r="AE5" s="429">
        <f ca="1">IFERROR(VLOOKUP(AE$2,Rango_Admin_DailyPred,MATCH($F5,Rango_Admin_DailyPred_Primera,0)+1,0),"-")</f>
        <v>0</v>
      </c>
      <c r="AF5" s="429">
        <f ca="1">IFERROR(VLOOKUP(AF$2,Rango_Admin_DailyPred,MATCH($F5,Rango_Admin_DailyPred_Primera,0)+1,0),"-")</f>
        <v>0</v>
      </c>
      <c r="AG5" s="429">
        <f ca="1">IFERROR(VLOOKUP(AG$2,Rango_Admin_DailyPred,MATCH($F5,Rango_Admin_DailyPred_Primera,0)+1,0),"-")</f>
        <v>0</v>
      </c>
      <c r="AH5" s="429">
        <f ca="1">IFERROR(VLOOKUP(AH$2,Rango_Admin_DailyPred,MATCH($F5,Rango_Admin_DailyPred_Primera,0)+1,0),"-")</f>
        <v>0</v>
      </c>
      <c r="AI5" s="429">
        <f ca="1">IFERROR(VLOOKUP(AI$2,Rango_Admin_DailyPred,MATCH($F5,Rango_Admin_DailyPred_Primera,0)+1,0),"-")</f>
        <v>0</v>
      </c>
      <c r="AJ5" s="429">
        <f ca="1">IFERROR(VLOOKUP(AJ$2,Rango_Admin_DailyPred,MATCH($F5,Rango_Admin_DailyPred_Primera,0)+1,0),"-")</f>
        <v>0</v>
      </c>
      <c r="AK5" s="429">
        <f ca="1">IFERROR(VLOOKUP(AK$2,Rango_Admin_DailyPred,MATCH($F5,Rango_Admin_DailyPred_Primera,0)+1,0),"-")</f>
        <v>0</v>
      </c>
      <c r="AL5" s="429">
        <f ca="1">IFERROR(VLOOKUP(AL$2,Rango_Admin_DailyPred,MATCH($F5,Rango_Admin_DailyPred_Primera,0)+1,0),"-")</f>
        <v>0</v>
      </c>
      <c r="AM5" s="429">
        <f ca="1">IFERROR(VLOOKUP(AM$2,Rango_Admin_DailyPred,MATCH($F5,Rango_Admin_DailyPred_Primera,0)+1,0),"-")</f>
        <v>0</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v>
      </c>
      <c r="C6" s="8">
        <v>3</v>
      </c>
      <c r="D6" s="90"/>
      <c r="E6" s="409">
        <f ca="1">IFERROR(HLOOKUP(C6,Rango_Admin_DailyClas,3,FALSE),"-")</f>
        <v>2</v>
      </c>
      <c r="F6" s="448" t="str">
        <f ca="1">IFERROR(HLOOKUP(C6,Rango_Admin_DailyClas,5,FALSE),"-")</f>
        <v>IVÁN DELGADO</v>
      </c>
      <c r="G6" s="22">
        <f ca="1">IFERROR(HLOOKUP(C6,Rango_Admin_DailyClas,4,FALSE),"-")</f>
        <v>5</v>
      </c>
      <c r="H6" s="429">
        <f ca="1">IFERROR(VLOOKUP(H$2,Rango_Admin_DailyPred,MATCH($F6,Rango_Admin_DailyPred_Primera,0)+1,0),"-")</f>
        <v>2</v>
      </c>
      <c r="I6" s="429">
        <f ca="1">IFERROR(VLOOKUP(I$2,Rango_Admin_DailyPred,MATCH($F6,Rango_Admin_DailyPred_Primera,0)+1,0),"-")</f>
        <v>0</v>
      </c>
      <c r="J6" s="429">
        <f ca="1">IFERROR(VLOOKUP(J$2,Rango_Admin_DailyPred,MATCH($F6,Rango_Admin_DailyPred_Primera,0)+1,0),"-")</f>
        <v>0</v>
      </c>
      <c r="K6" s="429">
        <f ca="1">IFERROR(VLOOKUP(K$2,Rango_Admin_DailyPred,MATCH($F6,Rango_Admin_DailyPred_Primera,0)+1,0),"-")</f>
        <v>0</v>
      </c>
      <c r="L6" s="429">
        <f ca="1">IFERROR(VLOOKUP(L$2,Rango_Admin_DailyPred,MATCH($F6,Rango_Admin_DailyPred_Primera,0)+1,0),"-")</f>
        <v>0</v>
      </c>
      <c r="M6" s="429">
        <f ca="1">IFERROR(VLOOKUP(M$2,Rango_Admin_DailyPred,MATCH($F6,Rango_Admin_DailyPred_Primera,0)+1,0),"-")</f>
        <v>0</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0</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3</v>
      </c>
      <c r="Y6" s="429">
        <f ca="1">IFERROR(VLOOKUP(Y$2,Rango_Admin_DailyPred,MATCH($F6,Rango_Admin_DailyPred_Primera,0)+1,0),"-")</f>
        <v>0</v>
      </c>
      <c r="Z6" s="429">
        <f ca="1">IFERROR(VLOOKUP(Z$2,Rango_Admin_DailyPred,MATCH($F6,Rango_Admin_DailyPred_Primera,0)+1,0),"-")</f>
        <v>0</v>
      </c>
      <c r="AA6" s="429">
        <f ca="1">IFERROR(VLOOKUP(AA$2,Rango_Admin_DailyPred,MATCH($F6,Rango_Admin_DailyPred_Primera,0)+1,0),"-")</f>
        <v>0</v>
      </c>
      <c r="AB6" s="429">
        <f ca="1">IFERROR(VLOOKUP(AB$2,Rango_Admin_DailyPred,MATCH($F6,Rango_Admin_DailyPred_Primera,0)+1,0),"-")</f>
        <v>0</v>
      </c>
      <c r="AC6" s="429">
        <f ca="1">IFERROR(VLOOKUP(AC$2,Rango_Admin_DailyPred,MATCH($F6,Rango_Admin_DailyPred_Primera,0)+1,0),"-")</f>
        <v>0</v>
      </c>
      <c r="AD6" s="429">
        <f ca="1">IFERROR(VLOOKUP(AD$2,Rango_Admin_DailyPred,MATCH($F6,Rango_Admin_DailyPred_Primera,0)+1,0),"-")</f>
        <v>0</v>
      </c>
      <c r="AE6" s="429">
        <f ca="1">IFERROR(VLOOKUP(AE$2,Rango_Admin_DailyPred,MATCH($F6,Rango_Admin_DailyPred_Primera,0)+1,0),"-")</f>
        <v>0</v>
      </c>
      <c r="AF6" s="429">
        <f ca="1">IFERROR(VLOOKUP(AF$2,Rango_Admin_DailyPred,MATCH($F6,Rango_Admin_DailyPred_Primera,0)+1,0),"-")</f>
        <v>0</v>
      </c>
      <c r="AG6" s="429">
        <f ca="1">IFERROR(VLOOKUP(AG$2,Rango_Admin_DailyPred,MATCH($F6,Rango_Admin_DailyPred_Primera,0)+1,0),"-")</f>
        <v>0</v>
      </c>
      <c r="AH6" s="429">
        <f ca="1">IFERROR(VLOOKUP(AH$2,Rango_Admin_DailyPred,MATCH($F6,Rango_Admin_DailyPred_Primera,0)+1,0),"-")</f>
        <v>0</v>
      </c>
      <c r="AI6" s="429">
        <f ca="1">IFERROR(VLOOKUP(AI$2,Rango_Admin_DailyPred,MATCH($F6,Rango_Admin_DailyPred_Primera,0)+1,0),"-")</f>
        <v>0</v>
      </c>
      <c r="AJ6" s="429">
        <f ca="1">IFERROR(VLOOKUP(AJ$2,Rango_Admin_DailyPred,MATCH($F6,Rango_Admin_DailyPred_Primera,0)+1,0),"-")</f>
        <v>0</v>
      </c>
      <c r="AK6" s="429">
        <f ca="1">IFERROR(VLOOKUP(AK$2,Rango_Admin_DailyPred,MATCH($F6,Rango_Admin_DailyPred_Primera,0)+1,0),"-")</f>
        <v>0</v>
      </c>
      <c r="AL6" s="429">
        <f ca="1">IFERROR(VLOOKUP(AL$2,Rango_Admin_DailyPred,MATCH($F6,Rango_Admin_DailyPred_Primera,0)+1,0),"-")</f>
        <v>0</v>
      </c>
      <c r="AM6" s="429">
        <f ca="1">IFERROR(VLOOKUP(AM$2,Rango_Admin_DailyPred,MATCH($F6,Rango_Admin_DailyPred_Primera,0)+1,0),"-")</f>
        <v>0</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v>
      </c>
      <c r="C7" s="8">
        <v>4</v>
      </c>
      <c r="D7" s="90"/>
      <c r="E7" s="409">
        <f ca="1">IFERROR(HLOOKUP(C7,Rango_Admin_DailyClas,3,FALSE),"-")</f>
        <v>2</v>
      </c>
      <c r="F7" s="448" t="str">
        <f ca="1">IFERROR(HLOOKUP(C7,Rango_Admin_DailyClas,5,FALSE),"-")</f>
        <v>ADRIÁN</v>
      </c>
      <c r="G7" s="22">
        <f ca="1">IFERROR(HLOOKUP(C7,Rango_Admin_DailyClas,4,FALSE),"-")</f>
        <v>5</v>
      </c>
      <c r="H7" s="429">
        <f ca="1">IFERROR(VLOOKUP(H$2,Rango_Admin_DailyPred,MATCH($F7,Rango_Admin_DailyPred_Primera,0)+1,0),"-")</f>
        <v>2</v>
      </c>
      <c r="I7" s="429">
        <f ca="1">IFERROR(VLOOKUP(I$2,Rango_Admin_DailyPred,MATCH($F7,Rango_Admin_DailyPred_Primera,0)+1,0),"-")</f>
        <v>0</v>
      </c>
      <c r="J7" s="429">
        <f ca="1">IFERROR(VLOOKUP(J$2,Rango_Admin_DailyPred,MATCH($F7,Rango_Admin_DailyPred_Primera,0)+1,0),"-")</f>
        <v>0</v>
      </c>
      <c r="K7" s="429">
        <f ca="1">IFERROR(VLOOKUP(K$2,Rango_Admin_DailyPred,MATCH($F7,Rango_Admin_DailyPred_Primera,0)+1,0),"-")</f>
        <v>0</v>
      </c>
      <c r="L7" s="429">
        <f ca="1">IFERROR(VLOOKUP(L$2,Rango_Admin_DailyPred,MATCH($F7,Rango_Admin_DailyPred_Primera,0)+1,0),"-")</f>
        <v>0</v>
      </c>
      <c r="M7" s="429">
        <f ca="1">IFERROR(VLOOKUP(M$2,Rango_Admin_DailyPred,MATCH($F7,Rango_Admin_DailyPred_Primera,0)+1,0),"-")</f>
        <v>0</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3</v>
      </c>
      <c r="Y7" s="429">
        <f ca="1">IFERROR(VLOOKUP(Y$2,Rango_Admin_DailyPred,MATCH($F7,Rango_Admin_DailyPred_Primera,0)+1,0),"-")</f>
        <v>0</v>
      </c>
      <c r="Z7" s="429">
        <f ca="1">IFERROR(VLOOKUP(Z$2,Rango_Admin_DailyPred,MATCH($F7,Rango_Admin_DailyPred_Primera,0)+1,0),"-")</f>
        <v>0</v>
      </c>
      <c r="AA7" s="429">
        <f ca="1">IFERROR(VLOOKUP(AA$2,Rango_Admin_DailyPred,MATCH($F7,Rango_Admin_DailyPred_Primera,0)+1,0),"-")</f>
        <v>0</v>
      </c>
      <c r="AB7" s="429">
        <f ca="1">IFERROR(VLOOKUP(AB$2,Rango_Admin_DailyPred,MATCH($F7,Rango_Admin_DailyPred_Primera,0)+1,0),"-")</f>
        <v>0</v>
      </c>
      <c r="AC7" s="429">
        <f ca="1">IFERROR(VLOOKUP(AC$2,Rango_Admin_DailyPred,MATCH($F7,Rango_Admin_DailyPred_Primera,0)+1,0),"-")</f>
        <v>0</v>
      </c>
      <c r="AD7" s="429">
        <f ca="1">IFERROR(VLOOKUP(AD$2,Rango_Admin_DailyPred,MATCH($F7,Rango_Admin_DailyPred_Primera,0)+1,0),"-")</f>
        <v>0</v>
      </c>
      <c r="AE7" s="429">
        <f ca="1">IFERROR(VLOOKUP(AE$2,Rango_Admin_DailyPred,MATCH($F7,Rango_Admin_DailyPred_Primera,0)+1,0),"-")</f>
        <v>0</v>
      </c>
      <c r="AF7" s="429">
        <f ca="1">IFERROR(VLOOKUP(AF$2,Rango_Admin_DailyPred,MATCH($F7,Rango_Admin_DailyPred_Primera,0)+1,0),"-")</f>
        <v>0</v>
      </c>
      <c r="AG7" s="429">
        <f ca="1">IFERROR(VLOOKUP(AG$2,Rango_Admin_DailyPred,MATCH($F7,Rango_Admin_DailyPred_Primera,0)+1,0),"-")</f>
        <v>0</v>
      </c>
      <c r="AH7" s="429">
        <f ca="1">IFERROR(VLOOKUP(AH$2,Rango_Admin_DailyPred,MATCH($F7,Rango_Admin_DailyPred_Primera,0)+1,0),"-")</f>
        <v>0</v>
      </c>
      <c r="AI7" s="429">
        <f ca="1">IFERROR(VLOOKUP(AI$2,Rango_Admin_DailyPred,MATCH($F7,Rango_Admin_DailyPred_Primera,0)+1,0),"-")</f>
        <v>0</v>
      </c>
      <c r="AJ7" s="429">
        <f ca="1">IFERROR(VLOOKUP(AJ$2,Rango_Admin_DailyPred,MATCH($F7,Rango_Admin_DailyPred_Primera,0)+1,0),"-")</f>
        <v>0</v>
      </c>
      <c r="AK7" s="429">
        <f ca="1">IFERROR(VLOOKUP(AK$2,Rango_Admin_DailyPred,MATCH($F7,Rango_Admin_DailyPred_Primera,0)+1,0),"-")</f>
        <v>0</v>
      </c>
      <c r="AL7" s="429">
        <f ca="1">IFERROR(VLOOKUP(AL$2,Rango_Admin_DailyPred,MATCH($F7,Rango_Admin_DailyPred_Primera,0)+1,0),"-")</f>
        <v>0</v>
      </c>
      <c r="AM7" s="429">
        <f ca="1">IFERROR(VLOOKUP(AM$2,Rango_Admin_DailyPred,MATCH($F7,Rango_Admin_DailyPred_Primera,0)+1,0),"-")</f>
        <v>0</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v>
      </c>
      <c r="C8" s="8">
        <v>5</v>
      </c>
      <c r="D8" s="90"/>
      <c r="E8" s="409">
        <f ca="1">IFERROR(HLOOKUP(C8,Rango_Admin_DailyClas,3,FALSE),"-")</f>
        <v>2</v>
      </c>
      <c r="F8" s="448" t="str">
        <f ca="1">IFERROR(HLOOKUP(C8,Rango_Admin_DailyClas,5,FALSE),"-")</f>
        <v>JUAN</v>
      </c>
      <c r="G8" s="22">
        <f ca="1">IFERROR(HLOOKUP(C8,Rango_Admin_DailyClas,4,FALSE),"-")</f>
        <v>5</v>
      </c>
      <c r="H8" s="429">
        <f ca="1">IFERROR(VLOOKUP(H$2,Rango_Admin_DailyPred,MATCH($F8,Rango_Admin_DailyPred_Primera,0)+1,0),"-")</f>
        <v>2</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0</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0</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3</v>
      </c>
      <c r="Y8" s="429">
        <f ca="1">IFERROR(VLOOKUP(Y$2,Rango_Admin_DailyPred,MATCH($F8,Rango_Admin_DailyPred_Primera,0)+1,0),"-")</f>
        <v>0</v>
      </c>
      <c r="Z8" s="429">
        <f ca="1">IFERROR(VLOOKUP(Z$2,Rango_Admin_DailyPred,MATCH($F8,Rango_Admin_DailyPred_Primera,0)+1,0),"-")</f>
        <v>0</v>
      </c>
      <c r="AA8" s="429">
        <f ca="1">IFERROR(VLOOKUP(AA$2,Rango_Admin_DailyPred,MATCH($F8,Rango_Admin_DailyPred_Primera,0)+1,0),"-")</f>
        <v>0</v>
      </c>
      <c r="AB8" s="429">
        <f ca="1">IFERROR(VLOOKUP(AB$2,Rango_Admin_DailyPred,MATCH($F8,Rango_Admin_DailyPred_Primera,0)+1,0),"-")</f>
        <v>0</v>
      </c>
      <c r="AC8" s="429">
        <f ca="1">IFERROR(VLOOKUP(AC$2,Rango_Admin_DailyPred,MATCH($F8,Rango_Admin_DailyPred_Primera,0)+1,0),"-")</f>
        <v>0</v>
      </c>
      <c r="AD8" s="429">
        <f ca="1">IFERROR(VLOOKUP(AD$2,Rango_Admin_DailyPred,MATCH($F8,Rango_Admin_DailyPred_Primera,0)+1,0),"-")</f>
        <v>0</v>
      </c>
      <c r="AE8" s="429">
        <f ca="1">IFERROR(VLOOKUP(AE$2,Rango_Admin_DailyPred,MATCH($F8,Rango_Admin_DailyPred_Primera,0)+1,0),"-")</f>
        <v>0</v>
      </c>
      <c r="AF8" s="429">
        <f ca="1">IFERROR(VLOOKUP(AF$2,Rango_Admin_DailyPred,MATCH($F8,Rango_Admin_DailyPred_Primera,0)+1,0),"-")</f>
        <v>0</v>
      </c>
      <c r="AG8" s="429">
        <f ca="1">IFERROR(VLOOKUP(AG$2,Rango_Admin_DailyPred,MATCH($F8,Rango_Admin_DailyPred_Primera,0)+1,0),"-")</f>
        <v>0</v>
      </c>
      <c r="AH8" s="429">
        <f ca="1">IFERROR(VLOOKUP(AH$2,Rango_Admin_DailyPred,MATCH($F8,Rango_Admin_DailyPred_Primera,0)+1,0),"-")</f>
        <v>0</v>
      </c>
      <c r="AI8" s="429">
        <f ca="1">IFERROR(VLOOKUP(AI$2,Rango_Admin_DailyPred,MATCH($F8,Rango_Admin_DailyPred_Primera,0)+1,0),"-")</f>
        <v>0</v>
      </c>
      <c r="AJ8" s="429">
        <f ca="1">IFERROR(VLOOKUP(AJ$2,Rango_Admin_DailyPred,MATCH($F8,Rango_Admin_DailyPred_Primera,0)+1,0),"-")</f>
        <v>0</v>
      </c>
      <c r="AK8" s="429">
        <f ca="1">IFERROR(VLOOKUP(AK$2,Rango_Admin_DailyPred,MATCH($F8,Rango_Admin_DailyPred_Primera,0)+1,0),"-")</f>
        <v>0</v>
      </c>
      <c r="AL8" s="429">
        <f ca="1">IFERROR(VLOOKUP(AL$2,Rango_Admin_DailyPred,MATCH($F8,Rango_Admin_DailyPred_Primera,0)+1,0),"-")</f>
        <v>0</v>
      </c>
      <c r="AM8" s="429">
        <f ca="1">IFERROR(VLOOKUP(AM$2,Rango_Admin_DailyPred,MATCH($F8,Rango_Admin_DailyPred_Primera,0)+1,0),"-")</f>
        <v>0</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v>
      </c>
      <c r="C9" s="8">
        <v>6</v>
      </c>
      <c r="D9" s="90"/>
      <c r="E9" s="409">
        <f ca="1">IFERROR(HLOOKUP(C9,Rango_Admin_DailyClas,3,FALSE),"-")</f>
        <v>2</v>
      </c>
      <c r="F9" s="448" t="str">
        <f ca="1">IFERROR(HLOOKUP(C9,Rango_Admin_DailyClas,5,FALSE),"-")</f>
        <v>CARLOS</v>
      </c>
      <c r="G9" s="22">
        <f ca="1">IFERROR(HLOOKUP(C9,Rango_Admin_DailyClas,4,FALSE),"-")</f>
        <v>5</v>
      </c>
      <c r="H9" s="429">
        <f ca="1">IFERROR(VLOOKUP(H$2,Rango_Admin_DailyPred,MATCH($F9,Rango_Admin_DailyPred_Primera,0)+1,0),"-")</f>
        <v>2</v>
      </c>
      <c r="I9" s="429">
        <f ca="1">IFERROR(VLOOKUP(I$2,Rango_Admin_DailyPred,MATCH($F9,Rango_Admin_DailyPred_Primera,0)+1,0),"-")</f>
        <v>0</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3</v>
      </c>
      <c r="Y9" s="429">
        <f ca="1">IFERROR(VLOOKUP(Y$2,Rango_Admin_DailyPred,MATCH($F9,Rango_Admin_DailyPred_Primera,0)+1,0),"-")</f>
        <v>0</v>
      </c>
      <c r="Z9" s="429">
        <f ca="1">IFERROR(VLOOKUP(Z$2,Rango_Admin_DailyPred,MATCH($F9,Rango_Admin_DailyPred_Primera,0)+1,0),"-")</f>
        <v>0</v>
      </c>
      <c r="AA9" s="429">
        <f ca="1">IFERROR(VLOOKUP(AA$2,Rango_Admin_DailyPred,MATCH($F9,Rango_Admin_DailyPred_Primera,0)+1,0),"-")</f>
        <v>0</v>
      </c>
      <c r="AB9" s="429">
        <f ca="1">IFERROR(VLOOKUP(AB$2,Rango_Admin_DailyPred,MATCH($F9,Rango_Admin_DailyPred_Primera,0)+1,0),"-")</f>
        <v>0</v>
      </c>
      <c r="AC9" s="429">
        <f ca="1">IFERROR(VLOOKUP(AC$2,Rango_Admin_DailyPred,MATCH($F9,Rango_Admin_DailyPred_Primera,0)+1,0),"-")</f>
        <v>0</v>
      </c>
      <c r="AD9" s="429">
        <f ca="1">IFERROR(VLOOKUP(AD$2,Rango_Admin_DailyPred,MATCH($F9,Rango_Admin_DailyPred_Primera,0)+1,0),"-")</f>
        <v>0</v>
      </c>
      <c r="AE9" s="429">
        <f ca="1">IFERROR(VLOOKUP(AE$2,Rango_Admin_DailyPred,MATCH($F9,Rango_Admin_DailyPred_Primera,0)+1,0),"-")</f>
        <v>0</v>
      </c>
      <c r="AF9" s="429">
        <f ca="1">IFERROR(VLOOKUP(AF$2,Rango_Admin_DailyPred,MATCH($F9,Rango_Admin_DailyPred_Primera,0)+1,0),"-")</f>
        <v>0</v>
      </c>
      <c r="AG9" s="429">
        <f ca="1">IFERROR(VLOOKUP(AG$2,Rango_Admin_DailyPred,MATCH($F9,Rango_Admin_DailyPred_Primera,0)+1,0),"-")</f>
        <v>0</v>
      </c>
      <c r="AH9" s="429">
        <f ca="1">IFERROR(VLOOKUP(AH$2,Rango_Admin_DailyPred,MATCH($F9,Rango_Admin_DailyPred_Primera,0)+1,0),"-")</f>
        <v>0</v>
      </c>
      <c r="AI9" s="429">
        <f ca="1">IFERROR(VLOOKUP(AI$2,Rango_Admin_DailyPred,MATCH($F9,Rango_Admin_DailyPred_Primera,0)+1,0),"-")</f>
        <v>0</v>
      </c>
      <c r="AJ9" s="429">
        <f ca="1">IFERROR(VLOOKUP(AJ$2,Rango_Admin_DailyPred,MATCH($F9,Rango_Admin_DailyPred_Primera,0)+1,0),"-")</f>
        <v>0</v>
      </c>
      <c r="AK9" s="429">
        <f ca="1">IFERROR(VLOOKUP(AK$2,Rango_Admin_DailyPred,MATCH($F9,Rango_Admin_DailyPred_Primera,0)+1,0),"-")</f>
        <v>0</v>
      </c>
      <c r="AL9" s="429">
        <f ca="1">IFERROR(VLOOKUP(AL$2,Rango_Admin_DailyPred,MATCH($F9,Rango_Admin_DailyPred_Primera,0)+1,0),"-")</f>
        <v>0</v>
      </c>
      <c r="AM9" s="429">
        <f ca="1">IFERROR(VLOOKUP(AM$2,Rango_Admin_DailyPred,MATCH($F9,Rango_Admin_DailyPred_Primera,0)+1,0),"-")</f>
        <v>0</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v>
      </c>
      <c r="C10" s="8">
        <v>7</v>
      </c>
      <c r="D10" s="90"/>
      <c r="E10" s="409">
        <f ca="1">IFERROR(HLOOKUP(C10,Rango_Admin_DailyClas,3,FALSE),"-")</f>
        <v>2</v>
      </c>
      <c r="F10" s="448" t="str">
        <f ca="1">IFERROR(HLOOKUP(C10,Rango_Admin_DailyClas,5,FALSE),"-")</f>
        <v>SU FLORENTINEZA</v>
      </c>
      <c r="G10" s="22">
        <f ca="1">IFERROR(HLOOKUP(C10,Rango_Admin_DailyClas,4,FALSE),"-")</f>
        <v>5</v>
      </c>
      <c r="H10" s="429">
        <f ca="1">IFERROR(VLOOKUP(H$2,Rango_Admin_DailyPred,MATCH($F10,Rango_Admin_DailyPred_Primera,0)+1,0),"-")</f>
        <v>2</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0</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3</v>
      </c>
      <c r="Y10" s="429">
        <f ca="1">IFERROR(VLOOKUP(Y$2,Rango_Admin_DailyPred,MATCH($F10,Rango_Admin_DailyPred_Primera,0)+1,0),"-")</f>
        <v>0</v>
      </c>
      <c r="Z10" s="429">
        <f ca="1">IFERROR(VLOOKUP(Z$2,Rango_Admin_DailyPred,MATCH($F10,Rango_Admin_DailyPred_Primera,0)+1,0),"-")</f>
        <v>0</v>
      </c>
      <c r="AA10" s="429">
        <f ca="1">IFERROR(VLOOKUP(AA$2,Rango_Admin_DailyPred,MATCH($F10,Rango_Admin_DailyPred_Primera,0)+1,0),"-")</f>
        <v>0</v>
      </c>
      <c r="AB10" s="429">
        <f ca="1">IFERROR(VLOOKUP(AB$2,Rango_Admin_DailyPred,MATCH($F10,Rango_Admin_DailyPred_Primera,0)+1,0),"-")</f>
        <v>0</v>
      </c>
      <c r="AC10" s="429">
        <f ca="1">IFERROR(VLOOKUP(AC$2,Rango_Admin_DailyPred,MATCH($F10,Rango_Admin_DailyPred_Primera,0)+1,0),"-")</f>
        <v>0</v>
      </c>
      <c r="AD10" s="429">
        <f ca="1">IFERROR(VLOOKUP(AD$2,Rango_Admin_DailyPred,MATCH($F10,Rango_Admin_DailyPred_Primera,0)+1,0),"-")</f>
        <v>0</v>
      </c>
      <c r="AE10" s="429">
        <f ca="1">IFERROR(VLOOKUP(AE$2,Rango_Admin_DailyPred,MATCH($F10,Rango_Admin_DailyPred_Primera,0)+1,0),"-")</f>
        <v>0</v>
      </c>
      <c r="AF10" s="429">
        <f ca="1">IFERROR(VLOOKUP(AF$2,Rango_Admin_DailyPred,MATCH($F10,Rango_Admin_DailyPred_Primera,0)+1,0),"-")</f>
        <v>0</v>
      </c>
      <c r="AG10" s="429">
        <f ca="1">IFERROR(VLOOKUP(AG$2,Rango_Admin_DailyPred,MATCH($F10,Rango_Admin_DailyPred_Primera,0)+1,0),"-")</f>
        <v>0</v>
      </c>
      <c r="AH10" s="429">
        <f ca="1">IFERROR(VLOOKUP(AH$2,Rango_Admin_DailyPred,MATCH($F10,Rango_Admin_DailyPred_Primera,0)+1,0),"-")</f>
        <v>0</v>
      </c>
      <c r="AI10" s="429">
        <f ca="1">IFERROR(VLOOKUP(AI$2,Rango_Admin_DailyPred,MATCH($F10,Rango_Admin_DailyPred_Primera,0)+1,0),"-")</f>
        <v>0</v>
      </c>
      <c r="AJ10" s="429">
        <f ca="1">IFERROR(VLOOKUP(AJ$2,Rango_Admin_DailyPred,MATCH($F10,Rango_Admin_DailyPred_Primera,0)+1,0),"-")</f>
        <v>0</v>
      </c>
      <c r="AK10" s="429">
        <f ca="1">IFERROR(VLOOKUP(AK$2,Rango_Admin_DailyPred,MATCH($F10,Rango_Admin_DailyPred_Primera,0)+1,0),"-")</f>
        <v>0</v>
      </c>
      <c r="AL10" s="429">
        <f ca="1">IFERROR(VLOOKUP(AL$2,Rango_Admin_DailyPred,MATCH($F10,Rango_Admin_DailyPred_Primera,0)+1,0),"-")</f>
        <v>0</v>
      </c>
      <c r="AM10" s="429">
        <f ca="1">IFERROR(VLOOKUP(AM$2,Rango_Admin_DailyPred,MATCH($F10,Rango_Admin_DailyPred_Primera,0)+1,0),"-")</f>
        <v>0</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(W74)</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(W76)</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(W79)</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(W83)</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(W81)</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(W86)</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(W85)</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(W75)</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(W77)</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(W78)</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(W80)</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(W84)</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(W82)</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(W88)</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(W87)</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4.4"/>
  <cols>
    <col min="1" max="2" width="10.77734375" style="21" hidden="1" customWidth="1"/>
    <col min="3" max="3" width="2.33203125" customWidth="1"/>
    <col min="4" max="4" width="46.21875" customWidth="1"/>
    <col min="5" max="6" width="12.77734375" customWidth="1"/>
    <col min="7" max="7" width="3.77734375" customWidth="1"/>
    <col min="8" max="8" width="32.218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1" t="str">
        <f>DailyPrediction!H1</f>
        <v>Dieciseisavos de final</v>
      </c>
      <c r="F5" s="404">
        <f ca="1">VLOOKUP($E$5,Equipos!$Q$2:$R$37,2,0)</f>
        <v>20</v>
      </c>
      <c r="G5" s="17"/>
      <c r="H5" s="476" t="str">
        <f>Idiomas!D501</f>
        <v>Selecciona un partido de hoy:↗</v>
      </c>
      <c r="I5" s="450" t="s">
        <v>1937</v>
      </c>
      <c r="J5" s="17"/>
      <c r="K5" s="17"/>
      <c r="L5" s="850">
        <f ca="1">SUM(WORLDCUP!AG4:AG147)/104</f>
        <v>0.70192307692307687</v>
      </c>
      <c r="M5" s="851"/>
      <c r="N5" s="851"/>
      <c r="O5" s="851"/>
      <c r="P5" s="851"/>
      <c r="Q5" s="851"/>
      <c r="R5" s="851"/>
      <c r="S5" s="851"/>
      <c r="T5" s="852"/>
      <c r="U5" s="25"/>
      <c r="V5" s="11">
        <f>ADMIN!$D$5</f>
        <v>7</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176</v>
      </c>
      <c r="F8" s="456">
        <f ca="1">IFERROR(E8/$B$46,0)</f>
        <v>0.20952380952380953</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6</v>
      </c>
      <c r="P8" s="469">
        <f ca="1">COUNTIF(ADMIN!$S$210:INDEX(ADMIN!$S$210:$HL$217,8,ADMIN!$D$5*3-1),Stats!$L8)-SUM(Q8:T8)</f>
        <v>0</v>
      </c>
      <c r="Q8" s="469">
        <f ca="1">COUNTIF(ADMIN!$S$226:INDEX(ADMIN!$S$226:$HL$229,4,ADMIN!$D$5*3-1),Stats!$L8)-SUM(R8:T8)</f>
        <v>0</v>
      </c>
      <c r="R8" s="469">
        <f ca="1">IFERROR(COUNTIF(ADMIN!$S$252:INDEX(ADMIN!$S$252:$HL$252,1,ADMIN!$D$5*3-1),Stats!$L8),0)</f>
        <v>1</v>
      </c>
      <c r="S8" s="469">
        <f ca="1">IFERROR(COUNTIF(ADMIN!$S$251:INDEX(ADMIN!$S$251:$HL$251,1,ADMIN!$D$5*3-1),Stats!$L8),0)</f>
        <v>0</v>
      </c>
      <c r="T8" s="470">
        <f ca="1">IFERROR(COUNTIF(ADMIN!$S$250:INDEX(ADMIN!$S$250:$HL$250,1,ADMIN!$D$5*3-1),Stats!$L8),0)</f>
        <v>0</v>
      </c>
      <c r="U8" s="25"/>
      <c r="V8" s="11">
        <f t="shared" ref="V8:V55" ca="1" si="0">SUM(M8:T8)</f>
        <v>7</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392</v>
      </c>
      <c r="F9" s="456">
        <f ca="1">IFERROR(E9/$B$46,0)</f>
        <v>0.46666666666666667</v>
      </c>
      <c r="G9" s="17"/>
      <c r="H9" s="457"/>
      <c r="I9" s="704"/>
      <c r="J9" s="706"/>
      <c r="K9" s="404"/>
      <c r="L9" s="132" t="str">
        <f ca="1">Horarios!Q4</f>
        <v>Arabia Saudita</v>
      </c>
      <c r="M9" s="471">
        <f ca="1">ADMIN!$D$5-SUM(N9:T9)</f>
        <v>5</v>
      </c>
      <c r="N9" s="471">
        <f ca="1">IFERROR(COUNTIF(ADMIN!$S$130:INDEX(ADMIN!$S$130:$HL$161,32,ADMIN!$D$5*3-1),Stats!$L9)-SUM(O9:T9),0)</f>
        <v>2</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7</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568</v>
      </c>
      <c r="F10" s="456">
        <f ca="1">IFERROR(E10/$B$46,0)</f>
        <v>0.67619047619047623</v>
      </c>
      <c r="G10" s="17"/>
      <c r="H10" s="454"/>
      <c r="I10" s="704"/>
      <c r="J10" s="706"/>
      <c r="K10" s="404"/>
      <c r="L10" s="133" t="str">
        <f ca="1">Horarios!Q5</f>
        <v>Argelia</v>
      </c>
      <c r="M10" s="469">
        <f ca="1">ADMIN!$D$5-SUM(N10:T10)</f>
        <v>0</v>
      </c>
      <c r="N10" s="469">
        <f ca="1">IFERROR(COUNTIF(ADMIN!$S$130:INDEX(ADMIN!$S$130:$HL$161,32,ADMIN!$D$5*3-1),Stats!$L10)-SUM(O10:T10),0)</f>
        <v>7</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7</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272</v>
      </c>
      <c r="F11" s="456">
        <f ca="1">IFERROR(1-F10,0)</f>
        <v>0.32380952380952377</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1</v>
      </c>
      <c r="R11" s="471">
        <f ca="1">IFERROR(COUNTIF(ADMIN!$S$252:INDEX(ADMIN!$S$252:$HL$252,1,ADMIN!$D$5*3-1),Stats!$L11),0)</f>
        <v>0</v>
      </c>
      <c r="S11" s="471">
        <f ca="1">IFERROR(COUNTIF(ADMIN!$S$251:INDEX(ADMIN!$S$251:$HL$251,1,ADMIN!$D$5*3-1),Stats!$L11),0)</f>
        <v>3</v>
      </c>
      <c r="T11" s="472">
        <f ca="1">IFERROR(COUNTIF(ADMIN!$S$250:INDEX(ADMIN!$S$250:$HL$250,1,ADMIN!$D$5*3-1),Stats!$L11),0)</f>
        <v>2</v>
      </c>
      <c r="U11" s="25"/>
      <c r="V11" s="11">
        <f t="shared" ca="1" si="0"/>
        <v>7</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1232</v>
      </c>
      <c r="F12" s="456">
        <f ca="1">IFERROR(E12/B47,0)</f>
        <v>0.20952380952380953</v>
      </c>
      <c r="G12" s="17"/>
      <c r="H12" s="454"/>
      <c r="I12" s="704"/>
      <c r="J12" s="706"/>
      <c r="K12" s="404"/>
      <c r="L12" s="133" t="str">
        <f ca="1">Horarios!Q7</f>
        <v>Australia</v>
      </c>
      <c r="M12" s="469">
        <f ca="1">ADMIN!$D$5-SUM(N12:T12)</f>
        <v>6</v>
      </c>
      <c r="N12" s="469">
        <f ca="1">IFERROR(COUNTIF(ADMIN!$S$130:INDEX(ADMIN!$S$130:$HL$161,32,ADMIN!$D$5*3-1),Stats!$L12)-SUM(O12:T12),0)</f>
        <v>-1</v>
      </c>
      <c r="O12" s="469">
        <f ca="1">COUNTIF(ADMIN!$S$182:INDEX(ADMIN!$S$182:$HL$197,16,ADMIN!$D$5*3-1),Stats!$L12)-SUM(P12:T12)</f>
        <v>2</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7</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37</v>
      </c>
      <c r="F13" s="456">
        <f ca="1">IFERROR(E13/E12,0)</f>
        <v>3.0032467532467532E-2</v>
      </c>
      <c r="G13" s="17"/>
      <c r="H13" s="457"/>
      <c r="I13" s="704"/>
      <c r="J13" s="706"/>
      <c r="K13" s="404"/>
      <c r="L13" s="132" t="str">
        <f ca="1">Horarios!Q8</f>
        <v>Austria</v>
      </c>
      <c r="M13" s="471">
        <f ca="1">ADMIN!$D$5-SUM(N13:T13)</f>
        <v>1</v>
      </c>
      <c r="N13" s="471">
        <f ca="1">IFERROR(COUNTIF(ADMIN!$S$130:INDEX(ADMIN!$S$130:$HL$161,32,ADMIN!$D$5*3-1),Stats!$L13)-SUM(O13:T13),0)</f>
        <v>6</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7</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4</v>
      </c>
      <c r="O14" s="469">
        <f ca="1">COUNTIF(ADMIN!$S$182:INDEX(ADMIN!$S$182:$HL$197,16,ADMIN!$D$5*3-1),Stats!$L14)-SUM(P14:T14)</f>
        <v>2</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7</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IFERROR(COUNTIF(DailyClas!$G$4:INDEX(DailyClas!$G$4:$G$75,ADMIN!$D$5),"&gt;0"),0)</f>
        <v>7</v>
      </c>
      <c r="F15" s="456">
        <f ca="1">IFERROR(E15/ADMIN!$D$5,0)</f>
        <v>1</v>
      </c>
      <c r="G15" s="17"/>
      <c r="H15" s="457"/>
      <c r="I15" s="704"/>
      <c r="J15" s="706"/>
      <c r="K15" s="404"/>
      <c r="L15" s="132" t="str">
        <f ca="1">Horarios!Q10</f>
        <v>Bosnia y Herzegovina</v>
      </c>
      <c r="M15" s="471">
        <f ca="1">ADMIN!$D$5-SUM(N15:T15)</f>
        <v>2</v>
      </c>
      <c r="N15" s="471">
        <f ca="1">IFERROR(COUNTIF(ADMIN!$S$130:INDEX(ADMIN!$S$130:$HL$161,32,ADMIN!$D$5*3-1),Stats!$L15)-SUM(O15:T15),0)</f>
        <v>5</v>
      </c>
      <c r="O15" s="471">
        <f ca="1">COUNTIF(ADMIN!$S$182:INDEX(ADMIN!$S$182:$HL$197,16,ADMIN!$D$5*3-1),Stats!$L15)-SUM(P15:T15)</f>
        <v>0</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7</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IFERROR(IF(SUM(ADMIN!$D$8:$D$47)=0,0,COUNTIF(DailyClas!$G$4:INDEX(DailyClas!$G$4:$G$75,ADMIN!$D$5),0)),0)</f>
        <v>0</v>
      </c>
      <c r="F16" s="456">
        <f ca="1">IFERROR(E16/ADMIN!$D$5,0)</f>
        <v>0</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2</v>
      </c>
      <c r="P16" s="469">
        <f ca="1">COUNTIF(ADMIN!$S$210:INDEX(ADMIN!$S$210:$HL$217,8,ADMIN!$D$5*3-1),Stats!$L16)-SUM(Q16:T16)</f>
        <v>4</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7</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IFERROR(AVERAGE(DailyClas!$G$4:INDEX(DailyClas!$G$4:$G$75,ADMIN!$D$5)),0)</f>
        <v>5.2857142857142856</v>
      </c>
      <c r="F17" s="460"/>
      <c r="G17" s="17"/>
      <c r="H17" s="457"/>
      <c r="I17" s="704"/>
      <c r="J17" s="707"/>
      <c r="K17" s="404"/>
      <c r="L17" s="132" t="str">
        <f ca="1">Horarios!Q12</f>
        <v>Cabo Verde</v>
      </c>
      <c r="M17" s="471">
        <f ca="1">ADMIN!$D$5-SUM(N17:T17)</f>
        <v>7</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7</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7</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7</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6</v>
      </c>
      <c r="N19" s="471">
        <f ca="1">IFERROR(COUNTIF(ADMIN!$S$130:INDEX(ADMIN!$S$130:$HL$161,32,ADMIN!$D$5*3-1),Stats!$L19)-SUM(O19:T19),0)</f>
        <v>1</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7</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3</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7</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7</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7</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6</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7</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6</v>
      </c>
      <c r="O23" s="471">
        <f ca="1">COUNTIF(ADMIN!$S$182:INDEX(ADMIN!$S$182:$HL$197,16,ADMIN!$D$5*3-1),Stats!$L23)-SUM(P23:T23)</f>
        <v>1</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7</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7</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7</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2</v>
      </c>
      <c r="O25" s="471">
        <f ca="1">COUNTIF(ADMIN!$S$182:INDEX(ADMIN!$S$182:$HL$197,16,ADMIN!$D$5*3-1),Stats!$L25)-SUM(P25:T25)</f>
        <v>4</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7</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5</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7</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7</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3</v>
      </c>
      <c r="S28" s="469">
        <f ca="1">IFERROR(COUNTIF(ADMIN!$S$251:INDEX(ADMIN!$S$251:$HL$251,1,ADMIN!$D$5*3-1),Stats!$L28),0)</f>
        <v>2</v>
      </c>
      <c r="T28" s="470">
        <f ca="1">IFERROR(COUNTIF(ADMIN!$S$250:INDEX(ADMIN!$S$250:$HL$250,1,ADMIN!$D$5*3-1),Stats!$L28),0)</f>
        <v>2</v>
      </c>
      <c r="U28" s="25"/>
      <c r="V28" s="11">
        <f t="shared" ca="1" si="0"/>
        <v>7</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0</v>
      </c>
      <c r="N29" s="471">
        <f ca="1">IFERROR(COUNTIF(ADMIN!$S$130:INDEX(ADMIN!$S$130:$HL$161,32,ADMIN!$D$5*3-1),Stats!$L29)-SUM(O29:T29),0)</f>
        <v>0</v>
      </c>
      <c r="O29" s="471">
        <f ca="1">COUNTIF(ADMIN!$S$182:INDEX(ADMIN!$S$182:$HL$197,16,ADMIN!$D$5*3-1),Stats!$L29)-SUM(P29:T29)</f>
        <v>3</v>
      </c>
      <c r="P29" s="471">
        <f ca="1">COUNTIF(ADMIN!$S$210:INDEX(ADMIN!$S$210:$HL$217,8,ADMIN!$D$5*3-1),Stats!$L29)-SUM(Q29:T29)</f>
        <v>4</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7</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1</v>
      </c>
      <c r="P30" s="469">
        <f ca="1">COUNTIF(ADMIN!$S$210:INDEX(ADMIN!$S$210:$HL$217,8,ADMIN!$D$5*3-1),Stats!$L30)-SUM(Q30:T30)</f>
        <v>1</v>
      </c>
      <c r="Q30" s="469">
        <f ca="1">COUNTIF(ADMIN!$S$226:INDEX(ADMIN!$S$226:$HL$229,4,ADMIN!$D$5*3-1),Stats!$L30)-SUM(R30:T30)</f>
        <v>0</v>
      </c>
      <c r="R30" s="469">
        <f ca="1">IFERROR(COUNTIF(ADMIN!$S$252:INDEX(ADMIN!$S$252:$HL$252,1,ADMIN!$D$5*3-1),Stats!$L30),0)</f>
        <v>2</v>
      </c>
      <c r="S30" s="469">
        <f ca="1">IFERROR(COUNTIF(ADMIN!$S$251:INDEX(ADMIN!$S$251:$HL$251,1,ADMIN!$D$5*3-1),Stats!$L30),0)</f>
        <v>0</v>
      </c>
      <c r="T30" s="470">
        <f ca="1">IFERROR(COUNTIF(ADMIN!$S$250:INDEX(ADMIN!$S$250:$HL$250,1,ADMIN!$D$5*3-1),Stats!$L30),0)</f>
        <v>3</v>
      </c>
      <c r="U30" s="25"/>
      <c r="V30" s="11">
        <f t="shared" ca="1" si="0"/>
        <v>7</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3</v>
      </c>
      <c r="N31" s="471">
        <f ca="1">IFERROR(COUNTIF(ADMIN!$S$130:INDEX(ADMIN!$S$130:$HL$161,32,ADMIN!$D$5*3-1),Stats!$L31)-SUM(O31:T31),0)</f>
        <v>4</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7</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7</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7</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3</v>
      </c>
      <c r="R33" s="471">
        <f ca="1">IFERROR(COUNTIF(ADMIN!$S$252:INDEX(ADMIN!$S$252:$HL$252,1,ADMIN!$D$5*3-1),Stats!$L33),0)</f>
        <v>0</v>
      </c>
      <c r="S33" s="471">
        <f ca="1">IFERROR(COUNTIF(ADMIN!$S$251:INDEX(ADMIN!$S$251:$HL$251,1,ADMIN!$D$5*3-1),Stats!$L33),0)</f>
        <v>2</v>
      </c>
      <c r="T33" s="472">
        <f ca="1">IFERROR(COUNTIF(ADMIN!$S$250:INDEX(ADMIN!$S$250:$HL$250,1,ADMIN!$D$5*3-1),Stats!$L33),0)</f>
        <v>0</v>
      </c>
      <c r="U33" s="25"/>
      <c r="V33" s="11">
        <f t="shared" ca="1" si="0"/>
        <v>7</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7</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7</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26</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5</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7</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28</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6</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7</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56</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7</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7</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28</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4</v>
      </c>
      <c r="O38" s="469">
        <f ca="1">COUNTIF(ADMIN!$S$182:INDEX(ADMIN!$S$182:$HL$197,16,ADMIN!$D$5*3-1),Stats!$L38)-SUM(P38:T38)</f>
        <v>0</v>
      </c>
      <c r="P38" s="469">
        <f ca="1">COUNTIF(ADMIN!$S$210:INDEX(ADMIN!$S$210:$HL$217,8,ADMIN!$D$5*3-1),Stats!$L38)-SUM(Q38:T38)</f>
        <v>2</v>
      </c>
      <c r="Q38" s="469">
        <f ca="1">COUNTIF(ADMIN!$S$226:INDEX(ADMIN!$S$226:$HL$229,4,ADMIN!$D$5*3-1),Stats!$L38)-SUM(R38:T38)</f>
        <v>0</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7</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42</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4</v>
      </c>
      <c r="O39" s="471">
        <f ca="1">COUNTIF(ADMIN!$S$182:INDEX(ADMIN!$S$182:$HL$197,16,ADMIN!$D$5*3-1),Stats!$L39)-SUM(P39:T39)</f>
        <v>3</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7</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32</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0</v>
      </c>
      <c r="O40" s="469">
        <f ca="1">COUNTIF(ADMIN!$S$182:INDEX(ADMIN!$S$182:$HL$197,16,ADMIN!$D$5*3-1),Stats!$L40)-SUM(P40:T40)</f>
        <v>5</v>
      </c>
      <c r="P40" s="469">
        <f ca="1">COUNTIF(ADMIN!$S$210:INDEX(ADMIN!$S$210:$HL$217,8,ADMIN!$D$5*3-1),Stats!$L40)-SUM(Q40:T40)</f>
        <v>1</v>
      </c>
      <c r="Q40" s="469">
        <f ca="1">COUNTIF(ADMIN!$S$226:INDEX(ADMIN!$S$226:$HL$229,4,ADMIN!$D$5*3-1),Stats!$L40)-SUM(R40:T40)</f>
        <v>1</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7</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176</v>
      </c>
      <c r="C41" s="17"/>
      <c r="D41" s="17"/>
      <c r="E41" s="17"/>
      <c r="F41" s="453"/>
      <c r="G41" s="17"/>
      <c r="H41" s="17"/>
      <c r="I41" s="17"/>
      <c r="J41" s="25"/>
      <c r="K41" s="25"/>
      <c r="L41" s="132" t="str">
        <f ca="1">Horarios!Q36</f>
        <v>Nueva Zelanda</v>
      </c>
      <c r="M41" s="471">
        <f ca="1">ADMIN!$D$5-SUM(N41:T41)</f>
        <v>7</v>
      </c>
      <c r="N41" s="471">
        <f ca="1">IFERROR(COUNTIF(ADMIN!$S$130:INDEX(ADMIN!$S$130:$HL$161,32,ADMIN!$D$5*3-1),Stats!$L41)-SUM(O41:T41),0)</f>
        <v>0</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7</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48</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3</v>
      </c>
      <c r="O42" s="469">
        <f ca="1">COUNTIF(ADMIN!$S$182:INDEX(ADMIN!$S$182:$HL$197,16,ADMIN!$D$5*3-1),Stats!$L42)-SUM(P42:T42)</f>
        <v>0</v>
      </c>
      <c r="P42" s="469">
        <f ca="1">COUNTIF(ADMIN!$S$210:INDEX(ADMIN!$S$210:$HL$217,8,ADMIN!$D$5*3-1),Stats!$L42)-SUM(Q42:T42)</f>
        <v>4</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7</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48</v>
      </c>
      <c r="C43" s="17"/>
      <c r="D43" s="17"/>
      <c r="E43" s="17"/>
      <c r="F43" s="453"/>
      <c r="G43" s="17"/>
      <c r="H43" s="17"/>
      <c r="I43" s="17"/>
      <c r="J43" s="25"/>
      <c r="K43" s="25"/>
      <c r="L43" s="132" t="str">
        <f ca="1">Horarios!Q38</f>
        <v>Panamá</v>
      </c>
      <c r="M43" s="471">
        <f ca="1">ADMIN!$D$5-SUM(N43:T43)</f>
        <v>7</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7</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72</v>
      </c>
      <c r="C44" s="17"/>
      <c r="D44" s="453"/>
      <c r="E44" s="453"/>
      <c r="F44" s="453"/>
      <c r="G44" s="17"/>
      <c r="H44" s="17"/>
      <c r="I44" s="17"/>
      <c r="J44" s="25"/>
      <c r="K44" s="25"/>
      <c r="L44" s="133" t="str">
        <f ca="1">Horarios!Q39</f>
        <v>Paraguay</v>
      </c>
      <c r="M44" s="469">
        <f ca="1">ADMIN!$D$5-SUM(N44:T44)</f>
        <v>3</v>
      </c>
      <c r="N44" s="469">
        <f ca="1">IFERROR(COUNTIF(ADMIN!$S$130:INDEX(ADMIN!$S$130:$HL$161,32,ADMIN!$D$5*3-1),Stats!$L44)-SUM(O44:T44),0)</f>
        <v>4</v>
      </c>
      <c r="O44" s="469">
        <f ca="1">COUNTIF(ADMIN!$S$182:INDEX(ADMIN!$S$182:$HL$197,16,ADMIN!$D$5*3-1),Stats!$L44)-SUM(P44:T44)</f>
        <v>0</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7</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104</v>
      </c>
      <c r="C45" s="17"/>
      <c r="D45" s="453"/>
      <c r="E45" s="453" t="str">
        <f ca="1">IF(Home!E41&lt;Home!E42,"",IF(Home!E41&gt;=Home!E42,Idiomas!D511&amp;" "&amp;SUM(WORLDCUP!$BJ$6:$BJ$53,WORLDCUP!$AC$101:$AD$147)&amp;" "&amp;Idiomas!D512,""))</f>
        <v>Se han marcado un total de 216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1</v>
      </c>
      <c r="O45" s="471">
        <f ca="1">COUNTIF(ADMIN!$S$182:INDEX(ADMIN!$S$182:$HL$197,16,ADMIN!$D$5*3-1),Stats!$L45)-SUM(P45:T45)</f>
        <v>6</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0</v>
      </c>
      <c r="U45" s="25"/>
      <c r="V45" s="11">
        <f t="shared" ca="1" si="0"/>
        <v>7</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840</v>
      </c>
      <c r="C46" s="17"/>
      <c r="D46" s="453"/>
      <c r="E46" s="453"/>
      <c r="F46" s="453"/>
      <c r="G46" s="17"/>
      <c r="H46" s="17"/>
      <c r="I46" s="17"/>
      <c r="J46" s="25"/>
      <c r="K46" s="25"/>
      <c r="L46" s="133" t="str">
        <f ca="1">Horarios!Q41</f>
        <v>RD Congo</v>
      </c>
      <c r="M46" s="469">
        <f ca="1">ADMIN!$D$5-SUM(N46:T46)</f>
        <v>6</v>
      </c>
      <c r="N46" s="469">
        <f ca="1">IFERROR(COUNTIF(ADMIN!$S$130:INDEX(ADMIN!$S$130:$HL$161,32,ADMIN!$D$5*3-1),Stats!$L46)-SUM(O46:T46),0)</f>
        <v>1</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7</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5880</v>
      </c>
      <c r="C47" s="17"/>
      <c r="D47" s="453"/>
      <c r="E47" s="453"/>
      <c r="F47" s="453"/>
      <c r="G47" s="17"/>
      <c r="H47" s="17"/>
      <c r="I47" s="17"/>
      <c r="J47" s="25"/>
      <c r="K47" s="25"/>
      <c r="L47" s="132" t="str">
        <f ca="1">Horarios!Q42</f>
        <v>República Checa</v>
      </c>
      <c r="M47" s="471">
        <f ca="1">ADMIN!$D$5-SUM(N47:T47)</f>
        <v>2</v>
      </c>
      <c r="N47" s="471">
        <f ca="1">IFERROR(COUNTIF(ADMIN!$S$130:INDEX(ADMIN!$S$130:$HL$161,32,ADMIN!$D$5*3-1),Stats!$L47)-SUM(O47:T47),0)</f>
        <v>5</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7</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2</v>
      </c>
      <c r="P48" s="469">
        <f ca="1">COUNTIF(ADMIN!$S$210:INDEX(ADMIN!$S$210:$HL$217,8,ADMIN!$D$5*3-1),Stats!$L48)-SUM(Q48:T48)</f>
        <v>2</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7</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7</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7</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6</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7</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4</v>
      </c>
      <c r="P51" s="471">
        <f ca="1">COUNTIF(ADMIN!$S$210:INDEX(ADMIN!$S$210:$HL$217,8,ADMIN!$D$5*3-1),Stats!$L51)-SUM(Q51:T51)</f>
        <v>3</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7</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7</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7</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7</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7</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7</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7</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6</v>
      </c>
      <c r="N55" s="473">
        <f ca="1">IFERROR(COUNTIF(ADMIN!$S$130:INDEX(ADMIN!$S$130:$HL$161,32,ADMIN!$D$5*3-1),Stats!$L55)-SUM(O55:T55),0)</f>
        <v>1</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7</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20" customWidth="1"/>
    <col min="2" max="2" width="2.6640625" style="8" customWidth="1"/>
    <col min="3" max="3" width="5.6640625" style="1" bestFit="1" customWidth="1"/>
    <col min="4" max="5" width="3.33203125" style="1" customWidth="1"/>
    <col min="6" max="6" width="6.218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218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1</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1</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1</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1</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1</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1</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1</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1</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3"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4"/>
      <c r="D3" s="854"/>
      <c r="E3" s="854"/>
      <c r="F3" s="854"/>
      <c r="G3" s="854"/>
      <c r="H3" s="854"/>
      <c r="I3" s="854"/>
      <c r="J3" s="855"/>
      <c r="K3" s="27"/>
      <c r="L3" s="674"/>
      <c r="M3" s="675"/>
      <c r="N3" s="675"/>
      <c r="O3" s="675"/>
      <c r="P3" s="675"/>
      <c r="Q3" s="675"/>
      <c r="R3" s="675"/>
      <c r="S3" s="689"/>
      <c r="T3" s="690"/>
    </row>
    <row r="4" spans="1:20">
      <c r="A4" s="26"/>
      <c r="B4" s="856"/>
      <c r="C4" s="857"/>
      <c r="D4" s="857"/>
      <c r="E4" s="857"/>
      <c r="F4" s="857"/>
      <c r="G4" s="857"/>
      <c r="H4" s="857"/>
      <c r="I4" s="857"/>
      <c r="J4" s="858"/>
      <c r="K4" s="27"/>
      <c r="L4" s="676" t="str">
        <f>Idiomas!D86</f>
        <v>· Selecciona el idioma en el que quieras hacer la porra y la zona horaria</v>
      </c>
      <c r="M4" s="141"/>
      <c r="N4" s="141"/>
      <c r="O4" s="141"/>
      <c r="P4" s="141"/>
      <c r="Q4" s="141"/>
      <c r="R4" s="141"/>
      <c r="S4" s="691"/>
      <c r="T4" s="692"/>
    </row>
    <row r="5" spans="1:20">
      <c r="A5" s="26"/>
      <c r="B5" s="856"/>
      <c r="C5" s="857"/>
      <c r="D5" s="857"/>
      <c r="E5" s="857"/>
      <c r="F5" s="857"/>
      <c r="G5" s="857"/>
      <c r="H5" s="857"/>
      <c r="I5" s="857"/>
      <c r="J5" s="858"/>
      <c r="K5" s="27"/>
      <c r="L5" s="676" t="str">
        <f>Idiomas!D87</f>
        <v>· Escribe el nombre del grupo de la porra/quiniela</v>
      </c>
      <c r="M5" s="141"/>
      <c r="N5" s="141"/>
      <c r="O5" s="141"/>
      <c r="P5" s="141"/>
      <c r="Q5" s="141"/>
      <c r="R5" s="141"/>
      <c r="S5" s="691"/>
      <c r="T5" s="692"/>
    </row>
    <row r="6" spans="1:20">
      <c r="A6" s="26"/>
      <c r="B6" s="856"/>
      <c r="C6" s="857"/>
      <c r="D6" s="857"/>
      <c r="E6" s="857"/>
      <c r="F6" s="857"/>
      <c r="G6" s="857"/>
      <c r="H6" s="857"/>
      <c r="I6" s="857"/>
      <c r="J6" s="858"/>
      <c r="K6" s="27"/>
      <c r="L6" s="864" t="str">
        <f>HYPERLINK(Idiomas!D103,Idiomas!D88)</f>
        <v>· El archivo de participante lo puedes descargar desde aquí</v>
      </c>
      <c r="M6" s="865"/>
      <c r="N6" s="865"/>
      <c r="O6" s="865"/>
      <c r="P6" s="141"/>
      <c r="Q6" s="141"/>
      <c r="R6" s="141"/>
      <c r="S6" s="691"/>
      <c r="T6" s="692"/>
    </row>
    <row r="7" spans="1:20">
      <c r="A7" s="26"/>
      <c r="B7" s="856"/>
      <c r="C7" s="857"/>
      <c r="D7" s="857"/>
      <c r="E7" s="857"/>
      <c r="F7" s="857"/>
      <c r="G7" s="857"/>
      <c r="H7" s="857"/>
      <c r="I7" s="857"/>
      <c r="J7" s="858"/>
      <c r="K7" s="27"/>
      <c r="L7" s="677"/>
      <c r="M7" s="678"/>
      <c r="N7" s="678"/>
      <c r="O7" s="678"/>
      <c r="P7" s="678"/>
      <c r="Q7" s="678"/>
      <c r="R7" s="678"/>
      <c r="S7" s="693"/>
      <c r="T7" s="694"/>
    </row>
    <row r="8" spans="1:20">
      <c r="A8" s="26"/>
      <c r="B8" s="856"/>
      <c r="C8" s="857"/>
      <c r="D8" s="857"/>
      <c r="E8" s="857"/>
      <c r="F8" s="857"/>
      <c r="G8" s="857"/>
      <c r="H8" s="857"/>
      <c r="I8" s="857"/>
      <c r="J8" s="858"/>
      <c r="K8" s="27"/>
      <c r="L8" s="4"/>
      <c r="M8" s="4"/>
      <c r="N8" s="4"/>
      <c r="O8" s="4"/>
      <c r="P8" s="4"/>
      <c r="Q8" s="4"/>
      <c r="R8" s="4"/>
      <c r="S8" s="688"/>
      <c r="T8" s="688"/>
    </row>
    <row r="9" spans="1:20">
      <c r="A9" s="26"/>
      <c r="B9" s="856"/>
      <c r="C9" s="857"/>
      <c r="D9" s="857"/>
      <c r="E9" s="857"/>
      <c r="F9" s="857"/>
      <c r="G9" s="857"/>
      <c r="H9" s="857"/>
      <c r="I9" s="857"/>
      <c r="J9" s="858"/>
      <c r="K9" s="27"/>
      <c r="L9" s="36" t="str">
        <f>"ADMIN"&amp;" "&amp;Idiomas!D89</f>
        <v>ADMIN (Antes de empezar el mundial)</v>
      </c>
      <c r="M9" s="683"/>
      <c r="N9" s="4"/>
      <c r="O9" s="4"/>
      <c r="P9" s="4"/>
      <c r="Q9" s="4"/>
      <c r="R9" s="4"/>
      <c r="S9" s="688"/>
      <c r="T9" s="688"/>
    </row>
    <row r="10" spans="1:20">
      <c r="A10" s="26"/>
      <c r="B10" s="856"/>
      <c r="C10" s="857"/>
      <c r="D10" s="857"/>
      <c r="E10" s="857"/>
      <c r="F10" s="857"/>
      <c r="G10" s="857"/>
      <c r="H10" s="857"/>
      <c r="I10" s="857"/>
      <c r="J10" s="858"/>
      <c r="K10" s="27"/>
      <c r="L10" s="674"/>
      <c r="M10" s="675"/>
      <c r="N10" s="675"/>
      <c r="O10" s="675"/>
      <c r="P10" s="675"/>
      <c r="Q10" s="675"/>
      <c r="R10" s="675"/>
      <c r="S10" s="689"/>
      <c r="T10" s="690"/>
    </row>
    <row r="11" spans="1:20">
      <c r="A11" s="26"/>
      <c r="B11" s="856"/>
      <c r="C11" s="857"/>
      <c r="D11" s="857"/>
      <c r="E11" s="857"/>
      <c r="F11" s="857"/>
      <c r="G11" s="857"/>
      <c r="H11" s="857"/>
      <c r="I11" s="857"/>
      <c r="J11" s="858"/>
      <c r="K11" s="27"/>
      <c r="L11" s="676" t="str">
        <f>Idiomas!D91</f>
        <v>· Esta hoja sirve para administrar la porra/quiniela</v>
      </c>
      <c r="M11" s="141"/>
      <c r="N11" s="141"/>
      <c r="O11" s="141"/>
      <c r="P11" s="141"/>
      <c r="Q11" s="141"/>
      <c r="R11" s="141"/>
      <c r="S11" s="691"/>
      <c r="T11" s="692"/>
    </row>
    <row r="12" spans="1:20">
      <c r="A12" s="26"/>
      <c r="B12" s="859"/>
      <c r="C12" s="860"/>
      <c r="D12" s="860"/>
      <c r="E12" s="860"/>
      <c r="F12" s="860"/>
      <c r="G12" s="860"/>
      <c r="H12" s="860"/>
      <c r="I12" s="860"/>
      <c r="J12" s="861"/>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4" t="str">
        <f>HYPERLINK(Idiomas!D302,Idiomas!D93)</f>
        <v>· Aquí explicamos cada criterio de puntuación</v>
      </c>
      <c r="M13" s="865"/>
      <c r="N13" s="865"/>
      <c r="O13" s="865"/>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2"/>
      <c r="C34" s="862"/>
      <c r="D34" s="862"/>
      <c r="E34" s="862"/>
      <c r="F34" s="862"/>
      <c r="G34" s="862"/>
      <c r="H34" s="862"/>
      <c r="I34" s="862"/>
      <c r="J34" s="862"/>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3" t="str">
        <f>Idiomas!D107</f>
        <v>Si Irán no participa en el mundial y le sustituye otra selección, selecciona el país sustituto en el desplegable. Si no aparece, elige 'Otro' e ingresa manualmente el nombre (español e inglés), su zona UTC y, opcionalmente, la imagen de su bandera.</v>
      </c>
      <c r="N84" s="863"/>
      <c r="O84" s="863"/>
      <c r="P84" s="863"/>
      <c r="Q84" s="863"/>
      <c r="R84" s="863"/>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19" customWidth="1"/>
    <col min="15" max="20" width="20.44140625" style="720"/>
    <col min="21" max="16384" width="20.441406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59">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60">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68">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69">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70">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71">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72">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73">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75">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76">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77">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78">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79">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80">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81">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82">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83">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84">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85">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86">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87">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88">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89">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90">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91">
        <v>#VALUE!</v>
      </c>
      <c r="O40" s="722"/>
      <c r="Q40" s="790" cm="1">
        <f t="array" aca="1" ref="Q40" ca="1">IFERROR(INDEX($Q$2:$Q$25,SMALL(IF(($Q$2:$Q$25)=0,"",ROW($Q$2:$Q$25)),ROW(Q1))-MIN(ROW($Q$2:$Q$25))+1),"")</f>
        <v>46184</v>
      </c>
      <c r="R40" s="790" cm="1">
        <f t="array" aca="1"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92">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93">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94">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95">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96">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97">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98">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99">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100">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77734375" defaultRowHeight="14.4"/>
  <cols>
    <col min="1" max="1" width="13.21875" style="9" bestFit="1" customWidth="1"/>
    <col min="2" max="2" width="5" style="9" customWidth="1"/>
    <col min="3" max="3" width="12.44140625" style="9" customWidth="1"/>
    <col min="4" max="4" width="13.218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218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6" ht="1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Laura Nataly Bello Lopez</cp:lastModifiedBy>
  <cp:lastPrinted>2018-12-06T18:06:35Z</cp:lastPrinted>
  <dcterms:created xsi:type="dcterms:W3CDTF">2015-10-31T09:41:54Z</dcterms:created>
  <dcterms:modified xsi:type="dcterms:W3CDTF">2026-06-29T13:31:43Z</dcterms:modified>
  <cp:category/>
</cp:coreProperties>
</file>